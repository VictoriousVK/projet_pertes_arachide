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Memoire Master\Redaction\"/>
    </mc:Choice>
  </mc:AlternateContent>
  <xr:revisionPtr revIDLastSave="0" documentId="13_ncr:1_{2FA5C2B1-1F1A-45B7-AB72-D2F4573F8768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Feuil1" sheetId="1" r:id="rId1"/>
    <sheet name="Decortiqué" sheetId="2" r:id="rId2"/>
    <sheet name="Gous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9" i="3" l="1"/>
  <c r="I128" i="3"/>
  <c r="I127" i="3"/>
  <c r="I126" i="3"/>
  <c r="I125" i="3"/>
  <c r="I124" i="3"/>
  <c r="I121" i="3"/>
  <c r="I120" i="3"/>
  <c r="I119" i="3"/>
  <c r="I118" i="3"/>
  <c r="I117" i="3"/>
  <c r="I116" i="3"/>
  <c r="I115" i="3"/>
  <c r="I114" i="3"/>
  <c r="I113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6" i="3"/>
  <c r="I95" i="3"/>
  <c r="I94" i="3"/>
  <c r="I93" i="3"/>
  <c r="I92" i="3"/>
  <c r="I91" i="3"/>
  <c r="I88" i="3"/>
  <c r="I87" i="3"/>
  <c r="I86" i="3"/>
  <c r="I85" i="3"/>
  <c r="I84" i="3"/>
  <c r="I80" i="3"/>
  <c r="I79" i="3"/>
  <c r="I78" i="3"/>
  <c r="I77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59" i="3"/>
  <c r="I58" i="3"/>
  <c r="I57" i="3"/>
  <c r="I56" i="3"/>
  <c r="I53" i="3"/>
  <c r="I52" i="3"/>
  <c r="I51" i="3"/>
  <c r="I50" i="3"/>
  <c r="I49" i="3"/>
  <c r="I48" i="3"/>
  <c r="I47" i="3"/>
  <c r="I46" i="3"/>
  <c r="I45" i="3"/>
  <c r="I44" i="3"/>
  <c r="I43" i="3"/>
  <c r="I42" i="3"/>
  <c r="I39" i="3"/>
  <c r="I38" i="3"/>
  <c r="I37" i="3"/>
  <c r="I36" i="3"/>
  <c r="I35" i="3"/>
  <c r="I32" i="3"/>
  <c r="I31" i="3"/>
  <c r="I30" i="3"/>
  <c r="I26" i="3"/>
  <c r="I25" i="3"/>
  <c r="I24" i="3"/>
  <c r="I23" i="3"/>
  <c r="I20" i="3"/>
  <c r="I19" i="3"/>
  <c r="I18" i="3"/>
  <c r="I17" i="3"/>
  <c r="I21" i="3" s="1"/>
  <c r="I14" i="3"/>
  <c r="I13" i="3"/>
  <c r="I12" i="3"/>
  <c r="I11" i="3"/>
  <c r="I10" i="3"/>
  <c r="I7" i="3"/>
  <c r="I6" i="3"/>
  <c r="I5" i="3"/>
  <c r="I4" i="3"/>
  <c r="I6" i="2"/>
  <c r="I4" i="2"/>
  <c r="I129" i="2"/>
  <c r="I128" i="2"/>
  <c r="I127" i="2"/>
  <c r="I126" i="2"/>
  <c r="I125" i="2"/>
  <c r="I124" i="2"/>
  <c r="I121" i="2"/>
  <c r="I120" i="2"/>
  <c r="I119" i="2"/>
  <c r="I118" i="2"/>
  <c r="I117" i="2"/>
  <c r="I116" i="2"/>
  <c r="I115" i="2"/>
  <c r="I114" i="2"/>
  <c r="I113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6" i="2"/>
  <c r="I95" i="2"/>
  <c r="I94" i="2"/>
  <c r="I93" i="2"/>
  <c r="I92" i="2"/>
  <c r="I91" i="2"/>
  <c r="I88" i="2"/>
  <c r="I87" i="2"/>
  <c r="I86" i="2"/>
  <c r="I85" i="2"/>
  <c r="I84" i="2"/>
  <c r="I80" i="2"/>
  <c r="I79" i="2"/>
  <c r="I78" i="2"/>
  <c r="I77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59" i="2"/>
  <c r="E58" i="2"/>
  <c r="I58" i="2" s="1"/>
  <c r="I57" i="2"/>
  <c r="I56" i="2"/>
  <c r="I53" i="2"/>
  <c r="I52" i="2"/>
  <c r="I51" i="2"/>
  <c r="I50" i="2"/>
  <c r="I49" i="2"/>
  <c r="I48" i="2"/>
  <c r="I47" i="2"/>
  <c r="I46" i="2"/>
  <c r="I45" i="2"/>
  <c r="I44" i="2"/>
  <c r="I43" i="2"/>
  <c r="I42" i="2"/>
  <c r="I39" i="2"/>
  <c r="I38" i="2"/>
  <c r="I37" i="2"/>
  <c r="I36" i="2"/>
  <c r="I35" i="2"/>
  <c r="I32" i="2"/>
  <c r="I31" i="2"/>
  <c r="I30" i="2"/>
  <c r="I26" i="2"/>
  <c r="I25" i="2"/>
  <c r="I24" i="2"/>
  <c r="I23" i="2"/>
  <c r="I20" i="2"/>
  <c r="I19" i="2"/>
  <c r="I18" i="2"/>
  <c r="I17" i="2"/>
  <c r="I14" i="2"/>
  <c r="I13" i="2"/>
  <c r="I12" i="2"/>
  <c r="I11" i="2"/>
  <c r="I10" i="2"/>
  <c r="I7" i="2"/>
  <c r="I5" i="2"/>
  <c r="I239" i="1"/>
  <c r="I170" i="1"/>
  <c r="I174" i="1"/>
  <c r="I123" i="1"/>
  <c r="I87" i="1"/>
  <c r="I70" i="1"/>
  <c r="I75" i="1"/>
  <c r="I66" i="1"/>
  <c r="I55" i="1"/>
  <c r="I53" i="1"/>
  <c r="I31" i="1"/>
  <c r="I29" i="1"/>
  <c r="I22" i="1"/>
  <c r="I18" i="1"/>
  <c r="I7" i="1"/>
  <c r="I9" i="1"/>
  <c r="I11" i="1"/>
  <c r="I44" i="1"/>
  <c r="I57" i="1"/>
  <c r="I233" i="1"/>
  <c r="I231" i="1"/>
  <c r="I232" i="1"/>
  <c r="I234" i="1"/>
  <c r="I235" i="1"/>
  <c r="I236" i="1"/>
  <c r="I237" i="1"/>
  <c r="I238" i="1"/>
  <c r="I240" i="1"/>
  <c r="I241" i="1"/>
  <c r="I230" i="1"/>
  <c r="I216" i="1"/>
  <c r="I210" i="1"/>
  <c r="I211" i="1"/>
  <c r="I212" i="1"/>
  <c r="I213" i="1"/>
  <c r="I214" i="1"/>
  <c r="I215" i="1"/>
  <c r="I217" i="1"/>
  <c r="I218" i="1"/>
  <c r="I219" i="1"/>
  <c r="I220" i="1"/>
  <c r="I221" i="1"/>
  <c r="I222" i="1"/>
  <c r="I223" i="1"/>
  <c r="I224" i="1"/>
  <c r="I225" i="1"/>
  <c r="I226" i="1"/>
  <c r="I209" i="1"/>
  <c r="I195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182" i="1"/>
  <c r="I168" i="1"/>
  <c r="I169" i="1"/>
  <c r="I171" i="1"/>
  <c r="I172" i="1"/>
  <c r="I173" i="1"/>
  <c r="I175" i="1"/>
  <c r="I176" i="1"/>
  <c r="I177" i="1"/>
  <c r="I178" i="1"/>
  <c r="I167" i="1"/>
  <c r="I155" i="1"/>
  <c r="I156" i="1"/>
  <c r="I157" i="1"/>
  <c r="I158" i="1"/>
  <c r="I159" i="1"/>
  <c r="I160" i="1"/>
  <c r="I161" i="1"/>
  <c r="I162" i="1"/>
  <c r="I163" i="1"/>
  <c r="I154" i="1"/>
  <c r="I141" i="1"/>
  <c r="I142" i="1"/>
  <c r="I143" i="1"/>
  <c r="I144" i="1"/>
  <c r="I145" i="1"/>
  <c r="I146" i="1"/>
  <c r="I147" i="1"/>
  <c r="I148" i="1"/>
  <c r="I127" i="1"/>
  <c r="I121" i="1"/>
  <c r="I117" i="1"/>
  <c r="I113" i="1"/>
  <c r="I114" i="1"/>
  <c r="I115" i="1"/>
  <c r="I116" i="1"/>
  <c r="I118" i="1"/>
  <c r="I119" i="1"/>
  <c r="I120" i="1"/>
  <c r="I122" i="1"/>
  <c r="I124" i="1"/>
  <c r="I125" i="1"/>
  <c r="I126" i="1"/>
  <c r="I128" i="1"/>
  <c r="I129" i="1"/>
  <c r="I130" i="1"/>
  <c r="I131" i="1"/>
  <c r="I132" i="1"/>
  <c r="I133" i="1"/>
  <c r="I134" i="1"/>
  <c r="I135" i="1"/>
  <c r="I136" i="1"/>
  <c r="I137" i="1"/>
  <c r="I112" i="1"/>
  <c r="I102" i="1"/>
  <c r="I103" i="1"/>
  <c r="I104" i="1"/>
  <c r="I105" i="1"/>
  <c r="I107" i="1"/>
  <c r="I108" i="1"/>
  <c r="I101" i="1"/>
  <c r="I93" i="1"/>
  <c r="I97" i="1"/>
  <c r="I76" i="1"/>
  <c r="I77" i="1"/>
  <c r="I78" i="1"/>
  <c r="I79" i="1"/>
  <c r="I80" i="1"/>
  <c r="I81" i="1"/>
  <c r="I82" i="1"/>
  <c r="I83" i="1"/>
  <c r="I84" i="1"/>
  <c r="I85" i="1"/>
  <c r="I86" i="1"/>
  <c r="I88" i="1"/>
  <c r="I89" i="1"/>
  <c r="I90" i="1"/>
  <c r="I91" i="1"/>
  <c r="I92" i="1"/>
  <c r="I94" i="1"/>
  <c r="I95" i="1"/>
  <c r="I96" i="1"/>
  <c r="I74" i="1"/>
  <c r="I62" i="1"/>
  <c r="I63" i="1"/>
  <c r="I64" i="1"/>
  <c r="I65" i="1"/>
  <c r="I67" i="1"/>
  <c r="I68" i="1"/>
  <c r="I69" i="1"/>
  <c r="I61" i="1"/>
  <c r="I54" i="1"/>
  <c r="I56" i="1"/>
  <c r="I52" i="1"/>
  <c r="I40" i="1"/>
  <c r="I41" i="1"/>
  <c r="I42" i="1"/>
  <c r="I43" i="1"/>
  <c r="I45" i="1"/>
  <c r="I46" i="1"/>
  <c r="I39" i="1"/>
  <c r="I33" i="1"/>
  <c r="I30" i="1"/>
  <c r="I32" i="1"/>
  <c r="I34" i="1"/>
  <c r="I35" i="1"/>
  <c r="I28" i="1"/>
  <c r="I16" i="1"/>
  <c r="I17" i="1"/>
  <c r="I19" i="1"/>
  <c r="I20" i="1"/>
  <c r="I21" i="1"/>
  <c r="I23" i="1"/>
  <c r="I24" i="1"/>
  <c r="I15" i="1"/>
  <c r="I5" i="1"/>
  <c r="I6" i="1"/>
  <c r="I8" i="1"/>
  <c r="I10" i="1"/>
  <c r="I4" i="1"/>
  <c r="E106" i="1"/>
  <c r="I106" i="1" s="1"/>
  <c r="I97" i="3" l="1"/>
  <c r="I33" i="3"/>
  <c r="I54" i="3"/>
  <c r="I60" i="3"/>
  <c r="I15" i="3"/>
  <c r="I27" i="3"/>
  <c r="I28" i="3" s="1"/>
  <c r="I111" i="3"/>
  <c r="I89" i="3"/>
  <c r="I122" i="3"/>
  <c r="I8" i="3"/>
  <c r="I75" i="3"/>
  <c r="I81" i="3"/>
  <c r="I130" i="3"/>
  <c r="I40" i="3"/>
  <c r="I8" i="2"/>
  <c r="I97" i="2"/>
  <c r="I40" i="2"/>
  <c r="I54" i="2"/>
  <c r="I81" i="2"/>
  <c r="I27" i="2"/>
  <c r="I130" i="2"/>
  <c r="I60" i="2"/>
  <c r="I111" i="2"/>
  <c r="I33" i="2"/>
  <c r="I15" i="2"/>
  <c r="I21" i="2"/>
  <c r="I89" i="2"/>
  <c r="I122" i="2"/>
  <c r="I75" i="2"/>
  <c r="I227" i="1"/>
  <c r="I164" i="1"/>
  <c r="I228" i="1"/>
  <c r="I25" i="1"/>
  <c r="I242" i="1"/>
  <c r="I207" i="1"/>
  <c r="I71" i="1"/>
  <c r="I243" i="1"/>
  <c r="I206" i="1"/>
  <c r="I58" i="1"/>
  <c r="I36" i="1"/>
  <c r="I180" i="1"/>
  <c r="I179" i="1"/>
  <c r="I12" i="1"/>
  <c r="I165" i="1"/>
  <c r="I150" i="1"/>
  <c r="I149" i="1"/>
  <c r="I151" i="1" s="1"/>
  <c r="I37" i="1"/>
  <c r="I138" i="1"/>
  <c r="I47" i="1"/>
  <c r="I98" i="1"/>
  <c r="I59" i="1"/>
  <c r="I72" i="1"/>
  <c r="I139" i="1"/>
  <c r="I13" i="1"/>
  <c r="I26" i="1"/>
  <c r="I99" i="1"/>
  <c r="I109" i="1"/>
  <c r="I110" i="1"/>
  <c r="I48" i="1"/>
  <c r="I50" i="1" s="1"/>
  <c r="I152" i="1" l="1"/>
  <c r="I245" i="1"/>
  <c r="I244" i="1"/>
  <c r="I131" i="3"/>
  <c r="I82" i="3"/>
  <c r="I82" i="2"/>
  <c r="I131" i="2"/>
  <c r="I28" i="2"/>
  <c r="I49" i="1"/>
</calcChain>
</file>

<file path=xl/sharedStrings.xml><?xml version="1.0" encoding="utf-8"?>
<sst xmlns="http://schemas.openxmlformats.org/spreadsheetml/2006/main" count="2371" uniqueCount="217">
  <si>
    <t>NOM ET PRENOMS</t>
  </si>
  <si>
    <t>ARACHIDE</t>
  </si>
  <si>
    <t>POIDS INITIAL</t>
  </si>
  <si>
    <t>2e pesé</t>
  </si>
  <si>
    <t>Types de stockage</t>
  </si>
  <si>
    <t>Moyens de stockage</t>
  </si>
  <si>
    <t>Natures des degats</t>
  </si>
  <si>
    <t>Nature du traitement</t>
  </si>
  <si>
    <t>Keur babou ndity</t>
  </si>
  <si>
    <t>Sac</t>
  </si>
  <si>
    <t>Cassure, taches noires</t>
  </si>
  <si>
    <t>Decortiqué</t>
  </si>
  <si>
    <t xml:space="preserve">Cheikh omar </t>
  </si>
  <si>
    <t>Chimiques</t>
  </si>
  <si>
    <t>Saliou</t>
  </si>
  <si>
    <t>Chenilles</t>
  </si>
  <si>
    <t>Bass Diallo</t>
  </si>
  <si>
    <t>Chimiques  perles</t>
  </si>
  <si>
    <t>Non traité</t>
  </si>
  <si>
    <t>Thiarene babou</t>
  </si>
  <si>
    <t>Sacs</t>
  </si>
  <si>
    <t xml:space="preserve">Bara </t>
  </si>
  <si>
    <t>Sarr</t>
  </si>
  <si>
    <t>Chimiques perles et poudre</t>
  </si>
  <si>
    <t xml:space="preserve">Baye dame </t>
  </si>
  <si>
    <t>Thiam</t>
  </si>
  <si>
    <t xml:space="preserve">Chimiques perles </t>
  </si>
  <si>
    <t>Aucun</t>
  </si>
  <si>
    <t>Bidons</t>
  </si>
  <si>
    <t xml:space="preserve">Ali </t>
  </si>
  <si>
    <t>Mangane</t>
  </si>
  <si>
    <t>Chimiques  poudre</t>
  </si>
  <si>
    <t>Keba</t>
  </si>
  <si>
    <t>Keur bacar santie</t>
  </si>
  <si>
    <t xml:space="preserve"> Elh hadji </t>
  </si>
  <si>
    <t>Gueye</t>
  </si>
  <si>
    <t>Birane</t>
  </si>
  <si>
    <t>Diawara</t>
  </si>
  <si>
    <t xml:space="preserve">Djim </t>
  </si>
  <si>
    <t>Momath</t>
  </si>
  <si>
    <t>Ndayene keur momath</t>
  </si>
  <si>
    <t xml:space="preserve">Elh hadji </t>
  </si>
  <si>
    <t>Diba</t>
  </si>
  <si>
    <t>Ail</t>
  </si>
  <si>
    <t>Mamadou</t>
  </si>
  <si>
    <t>magasin</t>
  </si>
  <si>
    <t>Poudre et ail</t>
  </si>
  <si>
    <t>Ibrahima</t>
  </si>
  <si>
    <t>Scas</t>
  </si>
  <si>
    <t xml:space="preserve">Omar </t>
  </si>
  <si>
    <t>Diba 2</t>
  </si>
  <si>
    <t>Simong bambara</t>
  </si>
  <si>
    <t>Toure</t>
  </si>
  <si>
    <t>Diallo</t>
  </si>
  <si>
    <t>Trouaison</t>
  </si>
  <si>
    <t>Chimiques perles</t>
  </si>
  <si>
    <t>Gorgui</t>
  </si>
  <si>
    <t>Ndiaye</t>
  </si>
  <si>
    <t>Fall</t>
  </si>
  <si>
    <t>Chimiques poudre</t>
  </si>
  <si>
    <t>Abdou karim</t>
  </si>
  <si>
    <t>Bassirou</t>
  </si>
  <si>
    <t>Barigo</t>
  </si>
  <si>
    <t>Modou</t>
  </si>
  <si>
    <t>Chimiques perles et poudre (traitement tardives)</t>
  </si>
  <si>
    <t>Ablaye</t>
  </si>
  <si>
    <t>Souris</t>
  </si>
  <si>
    <t xml:space="preserve">Ablaye </t>
  </si>
  <si>
    <t>Pakala</t>
  </si>
  <si>
    <t>Cisse</t>
  </si>
  <si>
    <t>Adama</t>
  </si>
  <si>
    <t>Ali cisse</t>
  </si>
  <si>
    <t>Djim momat</t>
  </si>
  <si>
    <t>Kebe</t>
  </si>
  <si>
    <t>Yakhoba  ( operateur)</t>
  </si>
  <si>
    <t>Chimiques perles poudre</t>
  </si>
  <si>
    <t>Simong Diene</t>
  </si>
  <si>
    <t>Sene</t>
  </si>
  <si>
    <t>Samba</t>
  </si>
  <si>
    <t xml:space="preserve">Gilbert </t>
  </si>
  <si>
    <t>Moussa</t>
  </si>
  <si>
    <t>Ngom</t>
  </si>
  <si>
    <t>Fus</t>
  </si>
  <si>
    <t>Goubi</t>
  </si>
  <si>
    <t>Ndour</t>
  </si>
  <si>
    <t>Diegane</t>
  </si>
  <si>
    <t>Touba mouride</t>
  </si>
  <si>
    <t xml:space="preserve">Cheikh </t>
  </si>
  <si>
    <t>Camara</t>
  </si>
  <si>
    <t xml:space="preserve">Aliou </t>
  </si>
  <si>
    <t xml:space="preserve">Amadou </t>
  </si>
  <si>
    <t xml:space="preserve">Ibrahima </t>
  </si>
  <si>
    <t>Bousso</t>
  </si>
  <si>
    <t>Keur malick fady</t>
  </si>
  <si>
    <t>Djibril</t>
  </si>
  <si>
    <t>Diop</t>
  </si>
  <si>
    <t>Ibou thiam</t>
  </si>
  <si>
    <t>Omar Thiam</t>
  </si>
  <si>
    <t>Medina djikoy</t>
  </si>
  <si>
    <t xml:space="preserve">Ousmane </t>
  </si>
  <si>
    <t>Sylla</t>
  </si>
  <si>
    <t>Konte</t>
  </si>
  <si>
    <t>Lamine</t>
  </si>
  <si>
    <t>Ndao</t>
  </si>
  <si>
    <t>Aliou</t>
  </si>
  <si>
    <t xml:space="preserve">Lamine </t>
  </si>
  <si>
    <t>Petites calibre et chenilles</t>
  </si>
  <si>
    <t>Abdou</t>
  </si>
  <si>
    <t>Chimiques perles (manque de verification)</t>
  </si>
  <si>
    <t>Niabali</t>
  </si>
  <si>
    <t>Petis calibres</t>
  </si>
  <si>
    <t>Bary</t>
  </si>
  <si>
    <t>Fanta mady</t>
  </si>
  <si>
    <t>Sidibe</t>
  </si>
  <si>
    <t>Marone</t>
  </si>
  <si>
    <t>Issa</t>
  </si>
  <si>
    <t>Keur ayib ka</t>
  </si>
  <si>
    <t>Ka</t>
  </si>
  <si>
    <t>Ail, perles</t>
  </si>
  <si>
    <t>Drame</t>
  </si>
  <si>
    <t xml:space="preserve">Malick </t>
  </si>
  <si>
    <t>Sakho</t>
  </si>
  <si>
    <t>Keur samba nosso</t>
  </si>
  <si>
    <t>Ya coumba</t>
  </si>
  <si>
    <t>Passy ndendrling</t>
  </si>
  <si>
    <t xml:space="preserve">Babacar </t>
  </si>
  <si>
    <t>Bitey</t>
  </si>
  <si>
    <t xml:space="preserve">Amad </t>
  </si>
  <si>
    <t>Ba</t>
  </si>
  <si>
    <t>Decortiquage inadequat, petit calibre</t>
  </si>
  <si>
    <t>Fallou Thiam</t>
  </si>
  <si>
    <t>Keur momath souna</t>
  </si>
  <si>
    <t>kebe</t>
  </si>
  <si>
    <t xml:space="preserve">Elimane </t>
  </si>
  <si>
    <t>Tine</t>
  </si>
  <si>
    <t xml:space="preserve">Diokel </t>
  </si>
  <si>
    <t>Dame</t>
  </si>
  <si>
    <t xml:space="preserve">Mbaye </t>
  </si>
  <si>
    <t>Cissé</t>
  </si>
  <si>
    <t>Amadou</t>
  </si>
  <si>
    <t>camara</t>
  </si>
  <si>
    <t xml:space="preserve">Mame sor </t>
  </si>
  <si>
    <t>Tioy</t>
  </si>
  <si>
    <t>Tiadiane</t>
  </si>
  <si>
    <t>Aladji</t>
  </si>
  <si>
    <t>Diom</t>
  </si>
  <si>
    <t>Matar</t>
  </si>
  <si>
    <t xml:space="preserve">Ousseynou </t>
  </si>
  <si>
    <t xml:space="preserve">Elh adji </t>
  </si>
  <si>
    <t>cissé</t>
  </si>
  <si>
    <t>Amath</t>
  </si>
  <si>
    <t>Dramé</t>
  </si>
  <si>
    <t xml:space="preserve">Mamadou </t>
  </si>
  <si>
    <t xml:space="preserve">Keba </t>
  </si>
  <si>
    <t>sacs</t>
  </si>
  <si>
    <t>Pathé</t>
  </si>
  <si>
    <t xml:space="preserve">Moussa </t>
  </si>
  <si>
    <t>Elhadji</t>
  </si>
  <si>
    <t>Mamour</t>
  </si>
  <si>
    <t>Dieng</t>
  </si>
  <si>
    <t>Abdoulahat</t>
  </si>
  <si>
    <t>bidons</t>
  </si>
  <si>
    <t>fus</t>
  </si>
  <si>
    <t>Amad</t>
  </si>
  <si>
    <t>1er pesé</t>
  </si>
  <si>
    <t>3e pesé</t>
  </si>
  <si>
    <t>Taux de perte</t>
  </si>
  <si>
    <t>ail</t>
  </si>
  <si>
    <t>Gousses</t>
  </si>
  <si>
    <t>Nature</t>
  </si>
  <si>
    <t>DIALLO</t>
  </si>
  <si>
    <t xml:space="preserve">Aladji </t>
  </si>
  <si>
    <t>trouaison</t>
  </si>
  <si>
    <t>trouaison et degats des souris</t>
  </si>
  <si>
    <t>Trouaison des gousses</t>
  </si>
  <si>
    <t>Moisissurres et trouaison</t>
  </si>
  <si>
    <t>aucun</t>
  </si>
  <si>
    <t>chemiques</t>
  </si>
  <si>
    <t>perforation des gousses</t>
  </si>
  <si>
    <t>Rongeurs</t>
  </si>
  <si>
    <t>kante</t>
  </si>
  <si>
    <t>Trouaison + degats souris</t>
  </si>
  <si>
    <t>moississure</t>
  </si>
  <si>
    <t>Rats</t>
  </si>
  <si>
    <t>Chimoques poudre</t>
  </si>
  <si>
    <t>Moisissures</t>
  </si>
  <si>
    <t>Taux de pertes global par village des gousses</t>
  </si>
  <si>
    <t>Taux de pertes global par village des graines</t>
  </si>
  <si>
    <t>Graines immatures, trouées</t>
  </si>
  <si>
    <t>Gousses trouées</t>
  </si>
  <si>
    <t>moississures, inesctes</t>
  </si>
  <si>
    <t>trouaison des sacs</t>
  </si>
  <si>
    <t>moisissures</t>
  </si>
  <si>
    <t>Graines immatures, souris</t>
  </si>
  <si>
    <t>Grains immatures, moisissures</t>
  </si>
  <si>
    <t>termites et souris</t>
  </si>
  <si>
    <t>Moisisssures</t>
  </si>
  <si>
    <t>trouaison, rats</t>
  </si>
  <si>
    <t>KEUR SALOUM DIANE</t>
  </si>
  <si>
    <t>Ndiayene moussa ndiaye</t>
  </si>
  <si>
    <t>Nioro Alassane Tall</t>
  </si>
  <si>
    <t>Keur Samba Gueye</t>
  </si>
  <si>
    <t>COMMUNE</t>
  </si>
  <si>
    <t>TAUX DE PERTE PAR COMMUNE DES GOUSSES</t>
  </si>
  <si>
    <t>TAUX DE PERTE PAR COMMUNES DES GRAINES</t>
  </si>
  <si>
    <t>Sall</t>
  </si>
  <si>
    <t xml:space="preserve">Bass </t>
  </si>
  <si>
    <t>Chimiques perle</t>
  </si>
  <si>
    <t>chimiques perles</t>
  </si>
  <si>
    <t xml:space="preserve">Trouaison </t>
  </si>
  <si>
    <t>moississures, trouaison</t>
  </si>
  <si>
    <t>Trouaisons</t>
  </si>
  <si>
    <t xml:space="preserve">termites </t>
  </si>
  <si>
    <t>Cassures</t>
  </si>
  <si>
    <t>Graines immatures, Cassures</t>
  </si>
  <si>
    <t>Cassure</t>
  </si>
  <si>
    <t xml:space="preserve">trouaison,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</si>
</sst>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 applyBorder="0"/>
  </cellStyleXfs>
  <cellXfs count="4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left" vertical="center" wrapText="1"/>
    </xf>
    <xf numFmtId="2" fontId="0" fillId="0" borderId="1" xfId="0" applyNumberFormat="1" applyBorder="1"/>
    <xf numFmtId="16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/>
    <xf numFmtId="0" fontId="0" fillId="0" borderId="4" xfId="0" applyBorder="1"/>
    <xf numFmtId="164" fontId="0" fillId="0" borderId="3" xfId="0" applyNumberFormat="1" applyBorder="1"/>
    <xf numFmtId="2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/>
    <xf numFmtId="164" fontId="0" fillId="3" borderId="3" xfId="0" applyNumberFormat="1" applyFill="1" applyBorder="1"/>
    <xf numFmtId="0" fontId="0" fillId="3" borderId="4" xfId="0" applyFill="1" applyBorder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5"/>
  <sheetViews>
    <sheetView zoomScale="86" zoomScaleNormal="77" workbookViewId="0">
      <selection activeCell="B246" sqref="B246"/>
    </sheetView>
  </sheetViews>
  <sheetFormatPr baseColWidth="10" defaultColWidth="8.6640625" defaultRowHeight="14.4"/>
  <cols>
    <col min="1" max="1" width="16.88671875" customWidth="1"/>
    <col min="2" max="2" width="40.33203125" style="2" bestFit="1" customWidth="1"/>
    <col min="3" max="3" width="14.44140625" style="2" customWidth="1"/>
    <col min="4" max="4" width="14.44140625" customWidth="1"/>
    <col min="5" max="5" width="10.88671875" customWidth="1"/>
    <col min="6" max="6" width="10.77734375" customWidth="1"/>
    <col min="7" max="8" width="8.77734375" bestFit="1" customWidth="1"/>
    <col min="9" max="9" width="10.88671875" customWidth="1"/>
    <col min="10" max="10" width="19" bestFit="1" customWidth="1"/>
    <col min="11" max="11" width="10.88671875" customWidth="1"/>
    <col min="12" max="12" width="28" customWidth="1"/>
    <col min="13" max="13" width="34.6640625" customWidth="1"/>
  </cols>
  <sheetData>
    <row r="1" spans="1:13" ht="15" thickBot="1">
      <c r="A1" s="33" t="s">
        <v>202</v>
      </c>
      <c r="B1" s="34" t="s">
        <v>0</v>
      </c>
      <c r="C1" s="34"/>
      <c r="D1" s="3"/>
      <c r="E1" s="35" t="s">
        <v>1</v>
      </c>
      <c r="F1" s="35"/>
      <c r="G1" s="35"/>
      <c r="H1" s="35"/>
      <c r="I1" s="35"/>
      <c r="J1" s="35"/>
      <c r="K1" s="35"/>
      <c r="L1" s="35"/>
      <c r="M1" s="35"/>
    </row>
    <row r="2" spans="1:13" s="1" customFormat="1" ht="29.4" thickBot="1">
      <c r="A2" s="33"/>
      <c r="B2" s="34"/>
      <c r="C2" s="34"/>
      <c r="D2" s="3" t="s">
        <v>169</v>
      </c>
      <c r="E2" s="4" t="s">
        <v>2</v>
      </c>
      <c r="F2" s="4" t="s">
        <v>164</v>
      </c>
      <c r="G2" s="4" t="s">
        <v>3</v>
      </c>
      <c r="H2" s="4" t="s">
        <v>165</v>
      </c>
      <c r="I2" s="4" t="s">
        <v>166</v>
      </c>
      <c r="J2" s="4" t="s">
        <v>4</v>
      </c>
      <c r="K2" s="4" t="s">
        <v>5</v>
      </c>
      <c r="L2" s="4" t="s">
        <v>7</v>
      </c>
      <c r="M2" s="4" t="s">
        <v>6</v>
      </c>
    </row>
    <row r="3" spans="1:13" s="7" customFormat="1" ht="15" thickBot="1">
      <c r="A3" s="33"/>
      <c r="B3" s="36" t="s">
        <v>8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3" ht="15" thickBot="1">
      <c r="A4" s="39" t="s">
        <v>198</v>
      </c>
      <c r="B4" s="25" t="s">
        <v>90</v>
      </c>
      <c r="C4" s="25" t="s">
        <v>170</v>
      </c>
      <c r="D4" s="6" t="s">
        <v>168</v>
      </c>
      <c r="E4" s="6">
        <v>300</v>
      </c>
      <c r="F4" s="6">
        <v>280</v>
      </c>
      <c r="G4" s="6"/>
      <c r="H4" s="6"/>
      <c r="I4" s="8">
        <f>((E4-F4)/E4)*100</f>
        <v>6.666666666666667</v>
      </c>
      <c r="J4" s="6" t="s">
        <v>45</v>
      </c>
      <c r="K4" s="6" t="s">
        <v>9</v>
      </c>
      <c r="L4" s="6" t="s">
        <v>26</v>
      </c>
      <c r="M4" s="6" t="s">
        <v>10</v>
      </c>
    </row>
    <row r="5" spans="1:13" ht="15" thickBot="1">
      <c r="A5" s="39"/>
      <c r="B5" s="25"/>
      <c r="C5" s="25"/>
      <c r="D5" s="6" t="s">
        <v>11</v>
      </c>
      <c r="E5" s="6">
        <v>200</v>
      </c>
      <c r="F5" s="6">
        <v>200</v>
      </c>
      <c r="G5" s="6">
        <v>200</v>
      </c>
      <c r="H5" s="6">
        <v>200</v>
      </c>
      <c r="I5" s="8">
        <f>((E5-H5)/E5)*100</f>
        <v>0</v>
      </c>
      <c r="J5" s="6" t="s">
        <v>45</v>
      </c>
      <c r="K5" s="6" t="s">
        <v>28</v>
      </c>
      <c r="L5" s="6" t="s">
        <v>167</v>
      </c>
      <c r="M5" s="6"/>
    </row>
    <row r="6" spans="1:13" ht="15" thickBot="1">
      <c r="A6" s="39"/>
      <c r="B6" s="25" t="s">
        <v>12</v>
      </c>
      <c r="C6" s="25" t="s">
        <v>58</v>
      </c>
      <c r="D6" s="6" t="s">
        <v>168</v>
      </c>
      <c r="E6" s="6">
        <v>300</v>
      </c>
      <c r="F6" s="6">
        <v>300</v>
      </c>
      <c r="G6" s="6"/>
      <c r="H6" s="6"/>
      <c r="I6" s="8">
        <f t="shared" ref="I6:I10" si="0">((E6-F6)/E6)*100</f>
        <v>0</v>
      </c>
      <c r="J6" s="6" t="s">
        <v>45</v>
      </c>
      <c r="K6" s="6" t="s">
        <v>9</v>
      </c>
      <c r="L6" s="6" t="s">
        <v>26</v>
      </c>
    </row>
    <row r="7" spans="1:13" ht="15" thickBot="1">
      <c r="A7" s="39"/>
      <c r="B7" s="25"/>
      <c r="C7" s="25"/>
      <c r="D7" s="6" t="s">
        <v>11</v>
      </c>
      <c r="E7" s="6">
        <v>200</v>
      </c>
      <c r="F7" s="6">
        <v>100</v>
      </c>
      <c r="G7" s="6">
        <v>100</v>
      </c>
      <c r="H7" s="6">
        <v>100</v>
      </c>
      <c r="I7" s="8">
        <f>((E7-H7)/E7)*100</f>
        <v>50</v>
      </c>
      <c r="J7" s="6" t="s">
        <v>45</v>
      </c>
      <c r="K7" s="6" t="s">
        <v>9</v>
      </c>
      <c r="L7" s="6" t="s">
        <v>26</v>
      </c>
      <c r="M7" s="6" t="s">
        <v>188</v>
      </c>
    </row>
    <row r="8" spans="1:13" ht="15" thickBot="1">
      <c r="A8" s="39"/>
      <c r="B8" s="25" t="s">
        <v>14</v>
      </c>
      <c r="C8" s="25"/>
      <c r="D8" s="6" t="s">
        <v>168</v>
      </c>
      <c r="E8" s="6">
        <v>300</v>
      </c>
      <c r="F8" s="6">
        <v>250</v>
      </c>
      <c r="G8" s="6"/>
      <c r="H8" s="6"/>
      <c r="I8" s="8">
        <f t="shared" si="0"/>
        <v>16.666666666666664</v>
      </c>
      <c r="J8" s="6" t="s">
        <v>45</v>
      </c>
      <c r="K8" s="6" t="s">
        <v>9</v>
      </c>
      <c r="L8" s="6" t="s">
        <v>26</v>
      </c>
      <c r="M8" s="6" t="s">
        <v>189</v>
      </c>
    </row>
    <row r="9" spans="1:13" ht="15" thickBot="1">
      <c r="A9" s="39"/>
      <c r="B9" s="25"/>
      <c r="C9" s="25"/>
      <c r="D9" s="6" t="s">
        <v>11</v>
      </c>
      <c r="E9" s="6">
        <v>200</v>
      </c>
      <c r="F9" s="6">
        <v>200</v>
      </c>
      <c r="G9" s="6">
        <v>100</v>
      </c>
      <c r="H9" s="6">
        <v>100</v>
      </c>
      <c r="I9" s="8">
        <f>((E9-H9)/E9)*100</f>
        <v>50</v>
      </c>
      <c r="J9" s="6" t="s">
        <v>45</v>
      </c>
      <c r="K9" s="6" t="s">
        <v>9</v>
      </c>
      <c r="L9" s="6" t="s">
        <v>26</v>
      </c>
      <c r="M9" s="6" t="s">
        <v>190</v>
      </c>
    </row>
    <row r="10" spans="1:13" ht="15" thickBot="1">
      <c r="A10" s="39"/>
      <c r="B10" s="25" t="s">
        <v>16</v>
      </c>
      <c r="C10" s="25"/>
      <c r="D10" s="6" t="s">
        <v>168</v>
      </c>
      <c r="E10" s="6">
        <v>250</v>
      </c>
      <c r="F10" s="6">
        <v>250</v>
      </c>
      <c r="G10" s="6"/>
      <c r="H10" s="6"/>
      <c r="I10" s="8">
        <f t="shared" si="0"/>
        <v>0</v>
      </c>
      <c r="J10" s="6" t="s">
        <v>45</v>
      </c>
      <c r="K10" s="6" t="s">
        <v>9</v>
      </c>
      <c r="L10" s="6" t="s">
        <v>26</v>
      </c>
      <c r="M10" s="6"/>
    </row>
    <row r="11" spans="1:13" ht="15" thickBot="1">
      <c r="A11" s="39"/>
      <c r="B11" s="25"/>
      <c r="C11" s="25"/>
      <c r="D11" s="6" t="s">
        <v>11</v>
      </c>
      <c r="E11" s="6">
        <v>200</v>
      </c>
      <c r="F11" s="6">
        <v>200</v>
      </c>
      <c r="G11" s="6">
        <v>200</v>
      </c>
      <c r="H11" s="6">
        <v>200</v>
      </c>
      <c r="I11" s="8">
        <f>((E11-F11)/E11)*100</f>
        <v>0</v>
      </c>
      <c r="J11" s="6" t="s">
        <v>45</v>
      </c>
      <c r="K11" s="6" t="s">
        <v>9</v>
      </c>
      <c r="L11" s="6" t="s">
        <v>18</v>
      </c>
      <c r="M11" s="6"/>
    </row>
    <row r="12" spans="1:13" ht="15" thickBot="1">
      <c r="A12" s="39"/>
      <c r="B12" s="31" t="s">
        <v>186</v>
      </c>
      <c r="C12" s="32"/>
      <c r="D12" s="12"/>
      <c r="E12" s="12"/>
      <c r="F12" s="12"/>
      <c r="G12" s="12"/>
      <c r="H12" s="12"/>
      <c r="I12" s="13">
        <f>AVERAGE(I4,I6,I8,I10)</f>
        <v>5.833333333333333</v>
      </c>
      <c r="J12" s="12"/>
      <c r="K12" s="12"/>
      <c r="L12" s="12"/>
      <c r="M12" s="14"/>
    </row>
    <row r="13" spans="1:13" ht="15" thickBot="1">
      <c r="A13" s="39"/>
      <c r="B13" s="31" t="s">
        <v>187</v>
      </c>
      <c r="C13" s="32"/>
      <c r="D13" s="12"/>
      <c r="E13" s="12"/>
      <c r="F13" s="12"/>
      <c r="G13" s="12"/>
      <c r="H13" s="12"/>
      <c r="I13" s="13">
        <f>AVERAGE(I5,I7,I9,I11)</f>
        <v>25</v>
      </c>
      <c r="J13" s="12"/>
      <c r="K13" s="12"/>
      <c r="L13" s="12"/>
      <c r="M13" s="14"/>
    </row>
    <row r="14" spans="1:13" ht="15" thickBot="1">
      <c r="A14" s="39"/>
      <c r="B14" s="28" t="s">
        <v>19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0"/>
    </row>
    <row r="15" spans="1:13" ht="15" thickBot="1">
      <c r="A15" s="39"/>
      <c r="B15" s="5" t="s">
        <v>171</v>
      </c>
      <c r="C15" s="5" t="s">
        <v>22</v>
      </c>
      <c r="D15" s="6" t="s">
        <v>168</v>
      </c>
      <c r="E15" s="6">
        <v>200</v>
      </c>
      <c r="F15" s="6">
        <v>200</v>
      </c>
      <c r="G15" s="6"/>
      <c r="H15" s="6"/>
      <c r="I15" s="9">
        <f>((E15-F15)/E15)*100</f>
        <v>0</v>
      </c>
      <c r="J15" s="6" t="s">
        <v>45</v>
      </c>
      <c r="K15" s="6" t="s">
        <v>9</v>
      </c>
      <c r="L15" s="6" t="s">
        <v>26</v>
      </c>
      <c r="M15" s="6"/>
    </row>
    <row r="16" spans="1:13" ht="15" thickBot="1">
      <c r="A16" s="39"/>
      <c r="B16" s="5"/>
      <c r="C16" s="5"/>
      <c r="D16" s="6" t="s">
        <v>11</v>
      </c>
      <c r="E16" s="6">
        <v>150</v>
      </c>
      <c r="F16" s="6">
        <v>150</v>
      </c>
      <c r="G16" s="6">
        <v>150</v>
      </c>
      <c r="H16" s="6">
        <v>150</v>
      </c>
      <c r="I16" s="9">
        <f t="shared" ref="I16:I24" si="1">((E16-F16)/E16)*100</f>
        <v>0</v>
      </c>
      <c r="J16" s="6" t="s">
        <v>45</v>
      </c>
      <c r="K16" s="6" t="s">
        <v>9</v>
      </c>
      <c r="L16" s="6" t="s">
        <v>26</v>
      </c>
      <c r="M16" s="6"/>
    </row>
    <row r="17" spans="1:13" ht="15" thickBot="1">
      <c r="A17" s="39"/>
      <c r="B17" s="5" t="s">
        <v>21</v>
      </c>
      <c r="C17" s="5" t="s">
        <v>22</v>
      </c>
      <c r="D17" s="6" t="s">
        <v>168</v>
      </c>
      <c r="E17" s="6">
        <v>500</v>
      </c>
      <c r="F17" s="6">
        <v>450</v>
      </c>
      <c r="G17" s="6"/>
      <c r="H17" s="6"/>
      <c r="I17" s="9">
        <f t="shared" si="1"/>
        <v>10</v>
      </c>
      <c r="J17" s="6" t="s">
        <v>45</v>
      </c>
      <c r="K17" s="6" t="s">
        <v>9</v>
      </c>
      <c r="L17" s="6" t="s">
        <v>23</v>
      </c>
      <c r="M17" s="6" t="s">
        <v>191</v>
      </c>
    </row>
    <row r="18" spans="1:13" ht="15" thickBot="1">
      <c r="A18" s="39"/>
      <c r="B18" s="5"/>
      <c r="C18" s="5"/>
      <c r="D18" s="24" t="s">
        <v>11</v>
      </c>
      <c r="E18" s="6">
        <v>300</v>
      </c>
      <c r="F18" s="6">
        <v>300</v>
      </c>
      <c r="G18" s="6">
        <v>250</v>
      </c>
      <c r="H18" s="6">
        <v>250</v>
      </c>
      <c r="I18" s="9">
        <f>((E18-H18)/E18)*100</f>
        <v>16.666666666666664</v>
      </c>
      <c r="J18" s="6" t="s">
        <v>45</v>
      </c>
      <c r="K18" s="6" t="s">
        <v>9</v>
      </c>
      <c r="L18" s="6" t="s">
        <v>26</v>
      </c>
      <c r="M18" s="6" t="s">
        <v>172</v>
      </c>
    </row>
    <row r="19" spans="1:13" ht="15" thickBot="1">
      <c r="A19" s="39"/>
      <c r="B19" s="5" t="s">
        <v>24</v>
      </c>
      <c r="C19" s="5" t="s">
        <v>25</v>
      </c>
      <c r="D19" s="6" t="s">
        <v>168</v>
      </c>
      <c r="E19" s="6">
        <v>1300</v>
      </c>
      <c r="F19" s="6">
        <v>1300</v>
      </c>
      <c r="G19" s="6"/>
      <c r="H19" s="6"/>
      <c r="I19" s="9">
        <f t="shared" si="1"/>
        <v>0</v>
      </c>
      <c r="J19" s="6" t="s">
        <v>45</v>
      </c>
      <c r="K19" s="6" t="s">
        <v>9</v>
      </c>
      <c r="L19" s="6" t="s">
        <v>26</v>
      </c>
      <c r="M19" s="6"/>
    </row>
    <row r="20" spans="1:13" ht="15" thickBot="1">
      <c r="A20" s="39"/>
      <c r="B20" s="5"/>
      <c r="C20" s="5"/>
      <c r="D20" s="6" t="s">
        <v>11</v>
      </c>
      <c r="E20" s="6">
        <v>700</v>
      </c>
      <c r="F20" s="6">
        <v>700</v>
      </c>
      <c r="G20" s="6">
        <v>700</v>
      </c>
      <c r="H20" s="6">
        <v>700</v>
      </c>
      <c r="I20" s="9">
        <f t="shared" si="1"/>
        <v>0</v>
      </c>
      <c r="J20" s="6" t="s">
        <v>45</v>
      </c>
      <c r="K20" s="6" t="s">
        <v>28</v>
      </c>
      <c r="L20" s="6" t="s">
        <v>27</v>
      </c>
      <c r="M20" s="6"/>
    </row>
    <row r="21" spans="1:13" ht="15" thickBot="1">
      <c r="A21" s="39"/>
      <c r="B21" s="5" t="s">
        <v>29</v>
      </c>
      <c r="C21" s="5" t="s">
        <v>30</v>
      </c>
      <c r="D21" s="6" t="s">
        <v>168</v>
      </c>
      <c r="E21" s="6">
        <v>500</v>
      </c>
      <c r="F21" s="6">
        <v>500</v>
      </c>
      <c r="G21" s="6"/>
      <c r="H21" s="6"/>
      <c r="I21" s="9">
        <f t="shared" si="1"/>
        <v>0</v>
      </c>
      <c r="J21" s="6" t="s">
        <v>45</v>
      </c>
      <c r="K21" s="6" t="s">
        <v>20</v>
      </c>
      <c r="L21" s="6" t="s">
        <v>23</v>
      </c>
      <c r="M21" s="6"/>
    </row>
    <row r="22" spans="1:13" ht="15" thickBot="1">
      <c r="A22" s="39"/>
      <c r="B22" s="5"/>
      <c r="C22" s="5"/>
      <c r="D22" s="6" t="s">
        <v>11</v>
      </c>
      <c r="E22" s="6">
        <v>250</v>
      </c>
      <c r="F22" s="6">
        <v>250</v>
      </c>
      <c r="G22" s="6">
        <v>200</v>
      </c>
      <c r="H22" s="6">
        <v>200</v>
      </c>
      <c r="I22" s="9">
        <f>((E22-H22)/E22)*100</f>
        <v>20</v>
      </c>
      <c r="J22" s="6" t="s">
        <v>45</v>
      </c>
      <c r="K22" s="6" t="s">
        <v>20</v>
      </c>
      <c r="L22" s="6" t="s">
        <v>31</v>
      </c>
      <c r="M22" s="6"/>
    </row>
    <row r="23" spans="1:13" ht="15" thickBot="1">
      <c r="A23" s="39"/>
      <c r="B23" s="5" t="s">
        <v>32</v>
      </c>
      <c r="C23" s="5" t="s">
        <v>22</v>
      </c>
      <c r="D23" s="6" t="s">
        <v>168</v>
      </c>
      <c r="E23" s="6">
        <v>300</v>
      </c>
      <c r="F23" s="6">
        <v>300</v>
      </c>
      <c r="G23" s="6"/>
      <c r="H23" s="6"/>
      <c r="I23" s="9">
        <f t="shared" si="1"/>
        <v>0</v>
      </c>
      <c r="J23" s="6" t="s">
        <v>45</v>
      </c>
      <c r="K23" s="6" t="s">
        <v>9</v>
      </c>
      <c r="L23" s="6" t="s">
        <v>26</v>
      </c>
      <c r="M23" s="6"/>
    </row>
    <row r="24" spans="1:13" ht="15" thickBot="1">
      <c r="A24" s="39"/>
      <c r="B24" s="5"/>
      <c r="C24" s="5"/>
      <c r="D24" s="6" t="s">
        <v>11</v>
      </c>
      <c r="E24" s="6">
        <v>50</v>
      </c>
      <c r="F24" s="6">
        <v>50</v>
      </c>
      <c r="G24" s="6">
        <v>50</v>
      </c>
      <c r="H24" s="6">
        <v>50</v>
      </c>
      <c r="I24" s="9">
        <f t="shared" si="1"/>
        <v>0</v>
      </c>
      <c r="J24" s="6" t="s">
        <v>45</v>
      </c>
      <c r="K24" s="6" t="s">
        <v>20</v>
      </c>
      <c r="L24" s="6" t="s">
        <v>31</v>
      </c>
      <c r="M24" s="6"/>
    </row>
    <row r="25" spans="1:13" ht="15" thickBot="1">
      <c r="A25" s="39"/>
      <c r="B25" s="31" t="s">
        <v>186</v>
      </c>
      <c r="C25" s="32"/>
      <c r="D25" s="12"/>
      <c r="E25" s="12"/>
      <c r="F25" s="12"/>
      <c r="G25" s="12"/>
      <c r="H25" s="12"/>
      <c r="I25" s="15">
        <f>AVERAGE(I15,I17,I19,I21,I23)</f>
        <v>2</v>
      </c>
      <c r="J25" s="12"/>
      <c r="K25" s="12"/>
      <c r="L25" s="12"/>
      <c r="M25" s="14"/>
    </row>
    <row r="26" spans="1:13" ht="15" thickBot="1">
      <c r="A26" s="39"/>
      <c r="B26" s="31" t="s">
        <v>187</v>
      </c>
      <c r="C26" s="32"/>
      <c r="D26" s="12"/>
      <c r="E26" s="12"/>
      <c r="F26" s="12"/>
      <c r="G26" s="12"/>
      <c r="H26" s="12"/>
      <c r="I26" s="15">
        <f>AVERAGE(I16,I18,I20,I22)</f>
        <v>9.1666666666666661</v>
      </c>
      <c r="J26" s="12"/>
      <c r="K26" s="12"/>
      <c r="L26" s="12"/>
      <c r="M26" s="14"/>
    </row>
    <row r="27" spans="1:13" ht="15" thickBot="1">
      <c r="A27" s="39"/>
      <c r="B27" s="28" t="s">
        <v>33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0"/>
    </row>
    <row r="28" spans="1:13" ht="15" thickBot="1">
      <c r="A28" s="39"/>
      <c r="B28" s="5" t="s">
        <v>34</v>
      </c>
      <c r="C28" s="5" t="s">
        <v>35</v>
      </c>
      <c r="D28" s="6" t="s">
        <v>168</v>
      </c>
      <c r="E28" s="6">
        <v>300</v>
      </c>
      <c r="F28" s="6">
        <v>300</v>
      </c>
      <c r="G28" s="6"/>
      <c r="H28" s="6"/>
      <c r="I28" s="9">
        <f>((E28-F28)/E28)*100</f>
        <v>0</v>
      </c>
      <c r="J28" s="6" t="s">
        <v>45</v>
      </c>
      <c r="K28" s="6" t="s">
        <v>20</v>
      </c>
      <c r="L28" s="6" t="s">
        <v>26</v>
      </c>
      <c r="M28" s="6"/>
    </row>
    <row r="29" spans="1:13" ht="15" thickBot="1">
      <c r="A29" s="39"/>
      <c r="B29" s="5"/>
      <c r="C29" s="5"/>
      <c r="D29" s="6" t="s">
        <v>11</v>
      </c>
      <c r="E29" s="6">
        <v>250</v>
      </c>
      <c r="F29" s="6">
        <v>250</v>
      </c>
      <c r="G29" s="6">
        <v>200</v>
      </c>
      <c r="H29" s="6">
        <v>200</v>
      </c>
      <c r="I29" s="9">
        <f>((E29-H29)/E29)*100</f>
        <v>20</v>
      </c>
      <c r="J29" s="6" t="s">
        <v>45</v>
      </c>
      <c r="K29" s="6" t="s">
        <v>20</v>
      </c>
      <c r="L29" s="6" t="s">
        <v>26</v>
      </c>
      <c r="M29" s="6" t="s">
        <v>173</v>
      </c>
    </row>
    <row r="30" spans="1:13" ht="15" thickBot="1">
      <c r="A30" s="39"/>
      <c r="B30" s="5" t="s">
        <v>36</v>
      </c>
      <c r="C30" s="5" t="s">
        <v>37</v>
      </c>
      <c r="D30" s="6" t="s">
        <v>168</v>
      </c>
      <c r="E30" s="6">
        <v>300</v>
      </c>
      <c r="F30" s="6">
        <v>200</v>
      </c>
      <c r="G30" s="6"/>
      <c r="H30" s="6"/>
      <c r="I30" s="9">
        <f t="shared" ref="I30:I35" si="2">((E30-F30)/E30)*100</f>
        <v>33.333333333333329</v>
      </c>
      <c r="J30" s="6" t="s">
        <v>45</v>
      </c>
      <c r="K30" s="6" t="s">
        <v>20</v>
      </c>
      <c r="L30" s="6" t="s">
        <v>27</v>
      </c>
      <c r="M30" s="6" t="s">
        <v>174</v>
      </c>
    </row>
    <row r="31" spans="1:13" ht="15" thickBot="1">
      <c r="A31" s="39"/>
      <c r="B31" s="5"/>
      <c r="C31" s="5"/>
      <c r="D31" s="6" t="s">
        <v>11</v>
      </c>
      <c r="E31" s="6">
        <v>25</v>
      </c>
      <c r="F31" s="6">
        <v>25</v>
      </c>
      <c r="G31" s="6">
        <v>20</v>
      </c>
      <c r="H31" s="6">
        <v>20</v>
      </c>
      <c r="I31" s="9">
        <f>((E31-H31)/E31)*100</f>
        <v>20</v>
      </c>
      <c r="J31" s="6" t="s">
        <v>45</v>
      </c>
      <c r="K31" s="6" t="s">
        <v>20</v>
      </c>
      <c r="L31" s="6" t="s">
        <v>26</v>
      </c>
      <c r="M31" s="6" t="s">
        <v>185</v>
      </c>
    </row>
    <row r="32" spans="1:13" ht="15" thickBot="1">
      <c r="A32" s="39"/>
      <c r="B32" s="5" t="s">
        <v>38</v>
      </c>
      <c r="C32" s="5" t="s">
        <v>37</v>
      </c>
      <c r="D32" s="6" t="s">
        <v>168</v>
      </c>
      <c r="E32" s="6">
        <v>500</v>
      </c>
      <c r="F32" s="6">
        <v>500</v>
      </c>
      <c r="G32" s="6"/>
      <c r="H32" s="6"/>
      <c r="I32" s="9">
        <f t="shared" si="2"/>
        <v>0</v>
      </c>
      <c r="J32" s="6" t="s">
        <v>45</v>
      </c>
      <c r="K32" s="6" t="s">
        <v>20</v>
      </c>
      <c r="L32" s="6" t="s">
        <v>26</v>
      </c>
      <c r="M32" s="6"/>
    </row>
    <row r="33" spans="1:13" ht="15" thickBot="1">
      <c r="A33" s="39"/>
      <c r="B33" s="5"/>
      <c r="C33" s="5"/>
      <c r="D33" s="6" t="s">
        <v>11</v>
      </c>
      <c r="E33" s="6">
        <v>300</v>
      </c>
      <c r="F33" s="6">
        <v>300</v>
      </c>
      <c r="G33" s="6">
        <v>250</v>
      </c>
      <c r="H33" s="6">
        <v>250</v>
      </c>
      <c r="I33" s="9">
        <f>((E33-H33)/E33)*100</f>
        <v>16.666666666666664</v>
      </c>
      <c r="J33" s="6" t="s">
        <v>45</v>
      </c>
      <c r="K33" s="6" t="s">
        <v>20</v>
      </c>
      <c r="L33" s="6" t="s">
        <v>26</v>
      </c>
      <c r="M33" s="6" t="s">
        <v>175</v>
      </c>
    </row>
    <row r="34" spans="1:13" ht="15" thickBot="1">
      <c r="A34" s="39"/>
      <c r="B34" s="5" t="s">
        <v>39</v>
      </c>
      <c r="C34" s="5" t="s">
        <v>35</v>
      </c>
      <c r="D34" s="6" t="s">
        <v>168</v>
      </c>
      <c r="E34" s="6">
        <v>200</v>
      </c>
      <c r="F34" s="6">
        <v>200</v>
      </c>
      <c r="G34" s="6"/>
      <c r="H34" s="6"/>
      <c r="I34" s="9">
        <f t="shared" si="2"/>
        <v>0</v>
      </c>
      <c r="J34" s="6" t="s">
        <v>45</v>
      </c>
      <c r="K34" s="6" t="s">
        <v>20</v>
      </c>
      <c r="L34" s="6" t="s">
        <v>31</v>
      </c>
      <c r="M34" s="6"/>
    </row>
    <row r="35" spans="1:13" ht="15" thickBot="1">
      <c r="A35" s="39"/>
      <c r="B35" s="5"/>
      <c r="C35" s="5"/>
      <c r="D35" s="6" t="s">
        <v>11</v>
      </c>
      <c r="E35" s="6">
        <v>100</v>
      </c>
      <c r="F35" s="6">
        <v>100</v>
      </c>
      <c r="G35" s="6">
        <v>100</v>
      </c>
      <c r="H35" s="6">
        <v>100</v>
      </c>
      <c r="I35" s="9">
        <f t="shared" si="2"/>
        <v>0</v>
      </c>
      <c r="J35" s="6" t="s">
        <v>45</v>
      </c>
      <c r="K35" s="6" t="s">
        <v>20</v>
      </c>
      <c r="L35" s="6" t="s">
        <v>27</v>
      </c>
      <c r="M35" s="6"/>
    </row>
    <row r="36" spans="1:13" ht="15" thickBot="1">
      <c r="A36" s="39"/>
      <c r="B36" s="31" t="s">
        <v>186</v>
      </c>
      <c r="C36" s="32"/>
      <c r="D36" s="12"/>
      <c r="E36" s="12"/>
      <c r="F36" s="12"/>
      <c r="G36" s="12"/>
      <c r="H36" s="12"/>
      <c r="I36" s="15">
        <f>AVERAGE(I28,I30,I32,I34)</f>
        <v>8.3333333333333321</v>
      </c>
      <c r="J36" s="12"/>
      <c r="K36" s="12"/>
      <c r="L36" s="12"/>
      <c r="M36" s="14"/>
    </row>
    <row r="37" spans="1:13" ht="15" thickBot="1">
      <c r="A37" s="39"/>
      <c r="B37" s="31" t="s">
        <v>187</v>
      </c>
      <c r="C37" s="32"/>
      <c r="D37" s="12"/>
      <c r="E37" s="12"/>
      <c r="F37" s="12"/>
      <c r="G37" s="12"/>
      <c r="H37" s="12"/>
      <c r="I37" s="15">
        <f>AVERAGE(I29,I31,I33,I35)</f>
        <v>14.166666666666666</v>
      </c>
      <c r="J37" s="12"/>
      <c r="K37" s="12"/>
      <c r="L37" s="12"/>
      <c r="M37" s="14"/>
    </row>
    <row r="38" spans="1:13" ht="15" thickBot="1">
      <c r="A38" s="39"/>
      <c r="B38" s="28" t="s">
        <v>40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0"/>
    </row>
    <row r="39" spans="1:13" ht="15" thickBot="1">
      <c r="A39" s="39"/>
      <c r="B39" s="5" t="s">
        <v>41</v>
      </c>
      <c r="C39" s="5" t="s">
        <v>42</v>
      </c>
      <c r="D39" s="6" t="s">
        <v>168</v>
      </c>
      <c r="E39" s="6">
        <v>300</v>
      </c>
      <c r="F39" s="6">
        <v>300</v>
      </c>
      <c r="G39" s="6"/>
      <c r="H39" s="6"/>
      <c r="I39" s="9">
        <f>((E39-F39)/E39)*100</f>
        <v>0</v>
      </c>
      <c r="J39" s="6" t="s">
        <v>45</v>
      </c>
      <c r="K39" s="6" t="s">
        <v>20</v>
      </c>
      <c r="L39" s="6" t="s">
        <v>43</v>
      </c>
      <c r="M39" s="6"/>
    </row>
    <row r="40" spans="1:13" ht="15" thickBot="1">
      <c r="A40" s="39"/>
      <c r="B40" s="5"/>
      <c r="C40" s="5"/>
      <c r="D40" s="6" t="s">
        <v>11</v>
      </c>
      <c r="E40" s="6">
        <v>200</v>
      </c>
      <c r="F40" s="6">
        <v>200</v>
      </c>
      <c r="G40" s="6">
        <v>200</v>
      </c>
      <c r="H40" s="6">
        <v>200</v>
      </c>
      <c r="I40" s="9">
        <f t="shared" ref="I40:I46" si="3">((E40-F40)/E40)*100</f>
        <v>0</v>
      </c>
      <c r="J40" s="6" t="s">
        <v>45</v>
      </c>
      <c r="K40" s="6" t="s">
        <v>20</v>
      </c>
      <c r="L40" s="6" t="s">
        <v>43</v>
      </c>
      <c r="M40" s="6"/>
    </row>
    <row r="41" spans="1:13" ht="15" thickBot="1">
      <c r="A41" s="39"/>
      <c r="B41" s="5" t="s">
        <v>44</v>
      </c>
      <c r="C41" s="5" t="s">
        <v>42</v>
      </c>
      <c r="D41" s="6" t="s">
        <v>168</v>
      </c>
      <c r="E41" s="6">
        <v>200</v>
      </c>
      <c r="F41" s="6">
        <v>200</v>
      </c>
      <c r="G41" s="6"/>
      <c r="H41" s="6"/>
      <c r="I41" s="9">
        <f t="shared" si="3"/>
        <v>0</v>
      </c>
      <c r="J41" s="6" t="s">
        <v>45</v>
      </c>
      <c r="K41" s="6" t="s">
        <v>20</v>
      </c>
      <c r="L41" s="6" t="s">
        <v>46</v>
      </c>
      <c r="M41" s="6"/>
    </row>
    <row r="42" spans="1:13" ht="15" thickBot="1">
      <c r="A42" s="39"/>
      <c r="B42" s="5"/>
      <c r="C42" s="5"/>
      <c r="D42" s="6" t="s">
        <v>11</v>
      </c>
      <c r="E42" s="6">
        <v>105</v>
      </c>
      <c r="F42" s="6">
        <v>105</v>
      </c>
      <c r="G42" s="6">
        <v>105</v>
      </c>
      <c r="H42" s="6">
        <v>105</v>
      </c>
      <c r="I42" s="9">
        <f t="shared" si="3"/>
        <v>0</v>
      </c>
      <c r="J42" s="6" t="s">
        <v>45</v>
      </c>
      <c r="K42" s="6" t="s">
        <v>28</v>
      </c>
      <c r="L42" s="6" t="s">
        <v>176</v>
      </c>
      <c r="M42" s="6"/>
    </row>
    <row r="43" spans="1:13" ht="15" thickBot="1">
      <c r="A43" s="39"/>
      <c r="B43" s="5" t="s">
        <v>47</v>
      </c>
      <c r="C43" s="5" t="s">
        <v>42</v>
      </c>
      <c r="D43" s="6" t="s">
        <v>168</v>
      </c>
      <c r="E43" s="6">
        <v>200</v>
      </c>
      <c r="F43" s="6">
        <v>200</v>
      </c>
      <c r="G43" s="6"/>
      <c r="H43" s="6"/>
      <c r="I43" s="9">
        <f t="shared" si="3"/>
        <v>0</v>
      </c>
      <c r="J43" s="6" t="s">
        <v>45</v>
      </c>
      <c r="K43" s="6" t="s">
        <v>20</v>
      </c>
      <c r="L43" s="6" t="s">
        <v>23</v>
      </c>
      <c r="M43" s="6"/>
    </row>
    <row r="44" spans="1:13" ht="15" thickBot="1">
      <c r="A44" s="39"/>
      <c r="B44" s="5"/>
      <c r="C44" s="5"/>
      <c r="D44" s="6" t="s">
        <v>11</v>
      </c>
      <c r="E44" s="6">
        <v>150</v>
      </c>
      <c r="F44" s="6">
        <v>150</v>
      </c>
      <c r="G44" s="6">
        <v>150</v>
      </c>
      <c r="H44" s="6">
        <v>150</v>
      </c>
      <c r="I44" s="9">
        <f>((E44-H44)/E44)*100</f>
        <v>0</v>
      </c>
      <c r="J44" s="6" t="s">
        <v>45</v>
      </c>
      <c r="K44" s="6" t="s">
        <v>48</v>
      </c>
      <c r="L44" s="6" t="s">
        <v>55</v>
      </c>
      <c r="M44" s="6"/>
    </row>
    <row r="45" spans="1:13" ht="15" thickBot="1">
      <c r="A45" s="39"/>
      <c r="B45" s="5" t="s">
        <v>49</v>
      </c>
      <c r="C45" s="5" t="s">
        <v>50</v>
      </c>
      <c r="D45" s="6" t="s">
        <v>168</v>
      </c>
      <c r="E45" s="6">
        <v>100</v>
      </c>
      <c r="F45" s="6">
        <v>100</v>
      </c>
      <c r="G45" s="6"/>
      <c r="H45" s="6"/>
      <c r="I45" s="9">
        <f t="shared" si="3"/>
        <v>0</v>
      </c>
      <c r="J45" s="6" t="s">
        <v>45</v>
      </c>
      <c r="K45" s="6" t="s">
        <v>20</v>
      </c>
      <c r="L45" s="6" t="s">
        <v>55</v>
      </c>
      <c r="M45" s="6"/>
    </row>
    <row r="46" spans="1:13" ht="15" thickBot="1">
      <c r="A46" s="39"/>
      <c r="B46" s="5"/>
      <c r="C46" s="5"/>
      <c r="D46" s="6" t="s">
        <v>11</v>
      </c>
      <c r="E46" s="6">
        <v>30</v>
      </c>
      <c r="F46" s="6">
        <v>30</v>
      </c>
      <c r="G46" s="6"/>
      <c r="H46" s="6"/>
      <c r="I46" s="9">
        <f t="shared" si="3"/>
        <v>0</v>
      </c>
      <c r="J46" s="6" t="s">
        <v>45</v>
      </c>
      <c r="K46" s="6" t="s">
        <v>28</v>
      </c>
      <c r="L46" s="6" t="s">
        <v>27</v>
      </c>
      <c r="M46" s="6"/>
    </row>
    <row r="47" spans="1:13" ht="15" thickBot="1">
      <c r="A47" s="39"/>
      <c r="B47" s="31" t="s">
        <v>186</v>
      </c>
      <c r="C47" s="32"/>
      <c r="D47" s="12"/>
      <c r="E47" s="12"/>
      <c r="F47" s="12"/>
      <c r="G47" s="12"/>
      <c r="H47" s="12"/>
      <c r="I47" s="15">
        <f>AVERAGE(I39+I41+I43+I45)</f>
        <v>0</v>
      </c>
      <c r="J47" s="12"/>
      <c r="K47" s="12"/>
      <c r="L47" s="12"/>
      <c r="M47" s="14"/>
    </row>
    <row r="48" spans="1:13" ht="15" thickBot="1">
      <c r="A48" s="39"/>
      <c r="B48" s="31" t="s">
        <v>187</v>
      </c>
      <c r="C48" s="32"/>
      <c r="D48" s="12"/>
      <c r="E48" s="12"/>
      <c r="F48" s="12"/>
      <c r="G48" s="12"/>
      <c r="H48" s="12"/>
      <c r="I48" s="15">
        <f>AVERAGE(I40+I42+I44+I46)</f>
        <v>0</v>
      </c>
      <c r="J48" s="12"/>
      <c r="K48" s="12"/>
      <c r="L48" s="12"/>
      <c r="M48" s="14"/>
    </row>
    <row r="49" spans="1:13" ht="15" thickBot="1">
      <c r="A49" s="18"/>
      <c r="B49" s="19" t="s">
        <v>203</v>
      </c>
      <c r="C49" s="20"/>
      <c r="D49" s="21"/>
      <c r="E49" s="21"/>
      <c r="F49" s="21"/>
      <c r="G49" s="21"/>
      <c r="H49" s="21"/>
      <c r="I49" s="22">
        <f>AVERAGE(I47,I36,I25,I12)</f>
        <v>4.0416666666666661</v>
      </c>
      <c r="J49" s="21"/>
      <c r="K49" s="21"/>
      <c r="L49" s="21"/>
      <c r="M49" s="23"/>
    </row>
    <row r="50" spans="1:13" ht="15" thickBot="1">
      <c r="A50" s="18"/>
      <c r="B50" s="19" t="s">
        <v>204</v>
      </c>
      <c r="C50" s="20"/>
      <c r="D50" s="21"/>
      <c r="E50" s="21"/>
      <c r="F50" s="21"/>
      <c r="G50" s="21"/>
      <c r="H50" s="21"/>
      <c r="I50" s="22">
        <f>AVERAGE(I48,I37,I26,I13)</f>
        <v>12.083333333333332</v>
      </c>
      <c r="J50" s="21"/>
      <c r="K50" s="21"/>
      <c r="L50" s="21"/>
      <c r="M50" s="23"/>
    </row>
    <row r="51" spans="1:13" ht="15" thickBot="1">
      <c r="A51" s="39" t="s">
        <v>200</v>
      </c>
      <c r="B51" s="28" t="s">
        <v>51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</row>
    <row r="52" spans="1:13" ht="15" thickBot="1">
      <c r="A52" s="39"/>
      <c r="B52" s="5" t="s">
        <v>44</v>
      </c>
      <c r="C52" s="5" t="s">
        <v>52</v>
      </c>
      <c r="D52" s="6" t="s">
        <v>168</v>
      </c>
      <c r="E52" s="6">
        <v>200</v>
      </c>
      <c r="F52" s="6">
        <v>150</v>
      </c>
      <c r="G52" s="6"/>
      <c r="H52" s="6"/>
      <c r="I52" s="8">
        <f>((E52-F52)/E52)*100</f>
        <v>25</v>
      </c>
      <c r="J52" s="6" t="s">
        <v>45</v>
      </c>
      <c r="K52" s="6" t="s">
        <v>20</v>
      </c>
      <c r="L52" s="6" t="s">
        <v>26</v>
      </c>
      <c r="M52" s="6" t="s">
        <v>15</v>
      </c>
    </row>
    <row r="53" spans="1:13" ht="15" thickBot="1">
      <c r="A53" s="39"/>
      <c r="B53" s="5"/>
      <c r="C53" s="5"/>
      <c r="D53" s="6" t="s">
        <v>11</v>
      </c>
      <c r="E53" s="6">
        <v>100</v>
      </c>
      <c r="F53" s="6">
        <v>80</v>
      </c>
      <c r="G53" s="6"/>
      <c r="H53" s="6"/>
      <c r="I53" s="8">
        <f>((E53-F53)/E53)*100</f>
        <v>20</v>
      </c>
      <c r="J53" s="6" t="s">
        <v>45</v>
      </c>
      <c r="K53" s="6" t="s">
        <v>20</v>
      </c>
      <c r="L53" s="6" t="s">
        <v>177</v>
      </c>
      <c r="M53" s="6" t="s">
        <v>172</v>
      </c>
    </row>
    <row r="54" spans="1:13" ht="15" thickBot="1">
      <c r="A54" s="39"/>
      <c r="B54" s="5" t="s">
        <v>44</v>
      </c>
      <c r="C54" s="5" t="s">
        <v>53</v>
      </c>
      <c r="D54" s="6" t="s">
        <v>168</v>
      </c>
      <c r="E54" s="6">
        <v>1200</v>
      </c>
      <c r="F54" s="6">
        <v>1100</v>
      </c>
      <c r="G54" s="6"/>
      <c r="H54" s="6"/>
      <c r="I54" s="8">
        <f t="shared" ref="I54:I56" si="4">((E54-F54)/E54)*100</f>
        <v>8.3333333333333321</v>
      </c>
      <c r="J54" s="6" t="s">
        <v>45</v>
      </c>
      <c r="K54" s="6" t="s">
        <v>20</v>
      </c>
      <c r="L54" s="6" t="s">
        <v>23</v>
      </c>
      <c r="M54" s="6" t="s">
        <v>54</v>
      </c>
    </row>
    <row r="55" spans="1:13" ht="15" thickBot="1">
      <c r="A55" s="39"/>
      <c r="B55" s="5"/>
      <c r="C55" s="5"/>
      <c r="D55" s="6" t="s">
        <v>11</v>
      </c>
      <c r="E55" s="6">
        <v>1000</v>
      </c>
      <c r="F55" s="6">
        <v>950</v>
      </c>
      <c r="G55" s="6">
        <v>800</v>
      </c>
      <c r="H55" s="6">
        <v>700</v>
      </c>
      <c r="I55" s="8">
        <f>((E55-H55)/E55)*100</f>
        <v>30</v>
      </c>
      <c r="J55" s="6" t="s">
        <v>45</v>
      </c>
      <c r="K55" s="6" t="s">
        <v>20</v>
      </c>
      <c r="L55" s="6" t="s">
        <v>55</v>
      </c>
      <c r="M55" s="6"/>
    </row>
    <row r="56" spans="1:13" ht="15" thickBot="1">
      <c r="A56" s="39"/>
      <c r="B56" s="5" t="s">
        <v>56</v>
      </c>
      <c r="C56" s="5" t="s">
        <v>57</v>
      </c>
      <c r="D56" s="6" t="s">
        <v>168</v>
      </c>
      <c r="E56" s="6">
        <v>300</v>
      </c>
      <c r="F56" s="6">
        <v>300</v>
      </c>
      <c r="G56" s="6"/>
      <c r="H56" s="6"/>
      <c r="I56" s="8">
        <f t="shared" si="4"/>
        <v>0</v>
      </c>
      <c r="J56" s="6" t="s">
        <v>45</v>
      </c>
      <c r="K56" s="6" t="s">
        <v>20</v>
      </c>
      <c r="L56" s="6" t="s">
        <v>55</v>
      </c>
      <c r="M56" s="6"/>
    </row>
    <row r="57" spans="1:13" ht="15" thickBot="1">
      <c r="A57" s="39"/>
      <c r="B57" s="5"/>
      <c r="C57" s="5"/>
      <c r="D57" s="6" t="s">
        <v>11</v>
      </c>
      <c r="E57" s="6">
        <v>150</v>
      </c>
      <c r="F57" s="6">
        <v>150</v>
      </c>
      <c r="G57" s="6">
        <v>150</v>
      </c>
      <c r="H57" s="6">
        <v>150</v>
      </c>
      <c r="I57" s="8">
        <f>((E57-H57)/E57)*100</f>
        <v>0</v>
      </c>
      <c r="J57" s="6" t="s">
        <v>45</v>
      </c>
      <c r="K57" s="6" t="s">
        <v>20</v>
      </c>
      <c r="L57" s="6" t="s">
        <v>27</v>
      </c>
      <c r="M57" s="6"/>
    </row>
    <row r="58" spans="1:13" ht="15" thickBot="1">
      <c r="A58" s="39"/>
      <c r="B58" s="10" t="s">
        <v>186</v>
      </c>
      <c r="C58" s="11"/>
      <c r="D58" s="12"/>
      <c r="E58" s="12"/>
      <c r="F58" s="12"/>
      <c r="G58" s="12"/>
      <c r="H58" s="12"/>
      <c r="I58" s="15">
        <f>AVERAGE(I52,I54,I56)</f>
        <v>11.111111111111109</v>
      </c>
      <c r="J58" s="12"/>
      <c r="K58" s="12"/>
      <c r="L58" s="12"/>
      <c r="M58" s="14"/>
    </row>
    <row r="59" spans="1:13" ht="15" thickBot="1">
      <c r="A59" s="39"/>
      <c r="B59" s="10" t="s">
        <v>187</v>
      </c>
      <c r="C59" s="11"/>
      <c r="D59" s="12"/>
      <c r="E59" s="12"/>
      <c r="F59" s="12"/>
      <c r="G59" s="12"/>
      <c r="H59" s="12"/>
      <c r="I59" s="15">
        <f>AVERAGE(I51,I53,I55,I57)</f>
        <v>16.666666666666668</v>
      </c>
      <c r="J59" s="12"/>
      <c r="K59" s="12"/>
      <c r="L59" s="12"/>
      <c r="M59" s="14"/>
    </row>
    <row r="60" spans="1:13" ht="15" thickBot="1">
      <c r="A60" s="39"/>
      <c r="B60" s="28" t="s">
        <v>199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30"/>
    </row>
    <row r="61" spans="1:13" ht="15" thickBot="1">
      <c r="A61" s="39"/>
      <c r="B61" s="5" t="s">
        <v>61</v>
      </c>
      <c r="C61" s="5" t="s">
        <v>57</v>
      </c>
      <c r="D61" s="6" t="s">
        <v>168</v>
      </c>
      <c r="E61" s="6">
        <v>300</v>
      </c>
      <c r="F61" s="6">
        <v>300</v>
      </c>
      <c r="G61" s="6"/>
      <c r="H61" s="6"/>
      <c r="I61" s="8">
        <f>((E61-F61)/E61)*100</f>
        <v>0</v>
      </c>
      <c r="J61" s="6" t="s">
        <v>45</v>
      </c>
      <c r="K61" s="6" t="s">
        <v>20</v>
      </c>
      <c r="L61" s="6" t="s">
        <v>26</v>
      </c>
      <c r="M61" s="6"/>
    </row>
    <row r="62" spans="1:13" ht="15" thickBot="1">
      <c r="A62" s="39"/>
      <c r="B62" s="5"/>
      <c r="C62" s="5"/>
      <c r="D62" s="6" t="s">
        <v>11</v>
      </c>
      <c r="E62" s="6">
        <v>250</v>
      </c>
      <c r="F62" s="6">
        <v>250</v>
      </c>
      <c r="G62" s="6">
        <v>250</v>
      </c>
      <c r="H62" s="6">
        <v>250</v>
      </c>
      <c r="I62" s="8">
        <f t="shared" ref="I62:I69" si="5">((E62-F62)/E62)*100</f>
        <v>0</v>
      </c>
      <c r="J62" s="6" t="s">
        <v>45</v>
      </c>
      <c r="K62" s="6" t="s">
        <v>82</v>
      </c>
      <c r="L62" s="6" t="s">
        <v>27</v>
      </c>
      <c r="M62" s="6"/>
    </row>
    <row r="63" spans="1:13" ht="15" thickBot="1">
      <c r="A63" s="39"/>
      <c r="B63" s="5" t="s">
        <v>63</v>
      </c>
      <c r="C63" s="5" t="s">
        <v>57</v>
      </c>
      <c r="D63" s="6" t="s">
        <v>168</v>
      </c>
      <c r="E63" s="6">
        <v>500</v>
      </c>
      <c r="F63" s="6">
        <v>350</v>
      </c>
      <c r="G63" s="6"/>
      <c r="H63" s="6"/>
      <c r="I63" s="8">
        <f t="shared" si="5"/>
        <v>30</v>
      </c>
      <c r="J63" s="6" t="s">
        <v>45</v>
      </c>
      <c r="K63" s="6" t="s">
        <v>9</v>
      </c>
      <c r="L63" s="6" t="s">
        <v>64</v>
      </c>
      <c r="M63" s="6" t="s">
        <v>178</v>
      </c>
    </row>
    <row r="64" spans="1:13" ht="15" thickBot="1">
      <c r="A64" s="39"/>
      <c r="B64" s="5"/>
      <c r="C64" s="5"/>
      <c r="D64" s="6" t="s">
        <v>11</v>
      </c>
      <c r="E64" s="6">
        <v>100</v>
      </c>
      <c r="F64" s="6">
        <v>100</v>
      </c>
      <c r="G64" s="6">
        <v>100</v>
      </c>
      <c r="H64" s="6">
        <v>100</v>
      </c>
      <c r="I64" s="8">
        <f t="shared" si="5"/>
        <v>0</v>
      </c>
      <c r="J64" s="6" t="s">
        <v>45</v>
      </c>
      <c r="K64" s="6" t="s">
        <v>20</v>
      </c>
      <c r="L64" s="6" t="s">
        <v>23</v>
      </c>
      <c r="M64" s="6"/>
    </row>
    <row r="65" spans="1:13" ht="15" thickBot="1">
      <c r="A65" s="39"/>
      <c r="B65" s="5" t="s">
        <v>65</v>
      </c>
      <c r="C65" s="5" t="s">
        <v>57</v>
      </c>
      <c r="D65" s="6" t="s">
        <v>168</v>
      </c>
      <c r="E65" s="6">
        <v>200</v>
      </c>
      <c r="F65" s="6">
        <v>175</v>
      </c>
      <c r="G65" s="6"/>
      <c r="H65" s="6"/>
      <c r="I65" s="8">
        <f t="shared" si="5"/>
        <v>12.5</v>
      </c>
      <c r="J65" s="6" t="s">
        <v>45</v>
      </c>
      <c r="K65" s="6" t="s">
        <v>20</v>
      </c>
      <c r="L65" s="6" t="s">
        <v>23</v>
      </c>
      <c r="M65" s="6" t="s">
        <v>66</v>
      </c>
    </row>
    <row r="66" spans="1:13" ht="15" thickBot="1">
      <c r="A66" s="39"/>
      <c r="B66" s="5"/>
      <c r="C66" s="5"/>
      <c r="D66" s="6" t="s">
        <v>11</v>
      </c>
      <c r="E66" s="6">
        <v>150</v>
      </c>
      <c r="F66" s="6">
        <v>150</v>
      </c>
      <c r="G66" s="6">
        <v>100</v>
      </c>
      <c r="H66" s="6">
        <v>100</v>
      </c>
      <c r="I66" s="8">
        <f>((E66-H66)/E66)*100</f>
        <v>33.333333333333329</v>
      </c>
      <c r="J66" s="6" t="s">
        <v>45</v>
      </c>
      <c r="K66" s="6" t="s">
        <v>20</v>
      </c>
      <c r="L66" s="6" t="s">
        <v>23</v>
      </c>
      <c r="M66" s="6"/>
    </row>
    <row r="67" spans="1:13" ht="15" thickBot="1">
      <c r="A67" s="39"/>
      <c r="B67" s="5" t="s">
        <v>67</v>
      </c>
      <c r="C67" s="5" t="s">
        <v>57</v>
      </c>
      <c r="D67" s="6" t="s">
        <v>168</v>
      </c>
      <c r="E67" s="6">
        <v>400</v>
      </c>
      <c r="F67" s="6">
        <v>400</v>
      </c>
      <c r="G67" s="6"/>
      <c r="H67" s="6"/>
      <c r="I67" s="8">
        <f t="shared" si="5"/>
        <v>0</v>
      </c>
      <c r="J67" s="6" t="s">
        <v>45</v>
      </c>
      <c r="K67" s="6" t="s">
        <v>20</v>
      </c>
      <c r="L67" s="6" t="s">
        <v>26</v>
      </c>
      <c r="M67" s="6"/>
    </row>
    <row r="68" spans="1:13" ht="15" thickBot="1">
      <c r="A68" s="39"/>
      <c r="B68" s="5"/>
      <c r="C68" s="5"/>
      <c r="D68" s="6" t="s">
        <v>11</v>
      </c>
      <c r="E68" s="6">
        <v>300</v>
      </c>
      <c r="F68" s="6">
        <v>300</v>
      </c>
      <c r="G68" s="6">
        <v>300</v>
      </c>
      <c r="H68" s="6">
        <v>300</v>
      </c>
      <c r="I68" s="8">
        <f t="shared" si="5"/>
        <v>0</v>
      </c>
      <c r="J68" s="6" t="s">
        <v>45</v>
      </c>
      <c r="K68" s="6" t="s">
        <v>82</v>
      </c>
      <c r="L68" s="6" t="s">
        <v>27</v>
      </c>
      <c r="M68" s="6"/>
    </row>
    <row r="69" spans="1:13" ht="15" thickBot="1">
      <c r="A69" s="39"/>
      <c r="B69" s="5" t="s">
        <v>60</v>
      </c>
      <c r="C69" s="5" t="s">
        <v>95</v>
      </c>
      <c r="D69" s="6" t="s">
        <v>168</v>
      </c>
      <c r="E69" s="6">
        <v>200</v>
      </c>
      <c r="F69" s="6">
        <v>200</v>
      </c>
      <c r="G69" s="6"/>
      <c r="H69" s="6"/>
      <c r="I69" s="8">
        <f t="shared" si="5"/>
        <v>0</v>
      </c>
      <c r="J69" s="6" t="s">
        <v>45</v>
      </c>
      <c r="K69" s="6" t="s">
        <v>20</v>
      </c>
      <c r="L69" s="6" t="s">
        <v>26</v>
      </c>
      <c r="M69" s="6"/>
    </row>
    <row r="70" spans="1:13" ht="15" thickBot="1">
      <c r="A70" s="39"/>
      <c r="B70" s="5"/>
      <c r="C70" s="5"/>
      <c r="D70" s="6" t="s">
        <v>11</v>
      </c>
      <c r="E70" s="6">
        <v>150</v>
      </c>
      <c r="F70" s="6">
        <v>120</v>
      </c>
      <c r="G70" s="6">
        <v>100</v>
      </c>
      <c r="H70" s="6">
        <v>100</v>
      </c>
      <c r="I70" s="8">
        <f>((E70-H70)/E70)*100</f>
        <v>33.333333333333329</v>
      </c>
      <c r="J70" s="6" t="s">
        <v>45</v>
      </c>
      <c r="K70" s="6" t="s">
        <v>20</v>
      </c>
      <c r="L70" s="6" t="s">
        <v>26</v>
      </c>
      <c r="M70" s="6" t="s">
        <v>179</v>
      </c>
    </row>
    <row r="71" spans="1:13" ht="15" thickBot="1">
      <c r="A71" s="39"/>
      <c r="B71" s="10" t="s">
        <v>186</v>
      </c>
      <c r="C71" s="11"/>
      <c r="D71" s="12"/>
      <c r="E71" s="12"/>
      <c r="F71" s="12"/>
      <c r="G71" s="12"/>
      <c r="H71" s="12"/>
      <c r="I71" s="15">
        <f>AVERAGE(I61,I63,I65,I67,I69)</f>
        <v>8.5</v>
      </c>
      <c r="J71" s="12"/>
      <c r="K71" s="12"/>
      <c r="L71" s="12"/>
      <c r="M71" s="14"/>
    </row>
    <row r="72" spans="1:13" ht="15" thickBot="1">
      <c r="A72" s="39"/>
      <c r="B72" s="10" t="s">
        <v>187</v>
      </c>
      <c r="C72" s="11"/>
      <c r="D72" s="12"/>
      <c r="E72" s="12"/>
      <c r="F72" s="12"/>
      <c r="G72" s="12"/>
      <c r="H72" s="12"/>
      <c r="I72" s="15">
        <f>AVERAGE(I64,I66,I68,I70)</f>
        <v>16.666666666666664</v>
      </c>
      <c r="J72" s="12"/>
      <c r="K72" s="12"/>
      <c r="L72" s="12"/>
      <c r="M72" s="14"/>
    </row>
    <row r="73" spans="1:13" ht="15" thickBot="1">
      <c r="A73" s="39"/>
      <c r="B73" s="28" t="s">
        <v>68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30"/>
    </row>
    <row r="74" spans="1:13" ht="15" thickBot="1">
      <c r="A74" s="39"/>
      <c r="B74" s="5" t="s">
        <v>61</v>
      </c>
      <c r="C74" s="5" t="s">
        <v>69</v>
      </c>
      <c r="D74" s="6" t="s">
        <v>168</v>
      </c>
      <c r="E74" s="6">
        <v>1000</v>
      </c>
      <c r="F74" s="6">
        <v>1000</v>
      </c>
      <c r="G74" s="6"/>
      <c r="H74" s="6"/>
      <c r="I74" s="8">
        <f>((E74-F74)/E74)*100</f>
        <v>0</v>
      </c>
      <c r="J74" s="6" t="s">
        <v>45</v>
      </c>
      <c r="K74" s="6" t="s">
        <v>20</v>
      </c>
      <c r="L74" s="6" t="s">
        <v>26</v>
      </c>
      <c r="M74" s="6"/>
    </row>
    <row r="75" spans="1:13" ht="15" thickBot="1">
      <c r="A75" s="39"/>
      <c r="B75" s="5"/>
      <c r="C75" s="5"/>
      <c r="D75" s="6" t="s">
        <v>11</v>
      </c>
      <c r="E75" s="6">
        <v>600</v>
      </c>
      <c r="F75" s="6">
        <v>500</v>
      </c>
      <c r="G75" s="6">
        <v>500</v>
      </c>
      <c r="H75" s="6">
        <v>500</v>
      </c>
      <c r="I75" s="8">
        <f>((E75-F75)/E75)*100</f>
        <v>16.666666666666664</v>
      </c>
      <c r="J75" s="6" t="s">
        <v>45</v>
      </c>
      <c r="K75" s="6" t="s">
        <v>20</v>
      </c>
      <c r="L75" s="6" t="s">
        <v>26</v>
      </c>
      <c r="M75" s="6" t="s">
        <v>181</v>
      </c>
    </row>
    <row r="76" spans="1:13" ht="15" thickBot="1">
      <c r="A76" s="39"/>
      <c r="B76" s="5" t="s">
        <v>70</v>
      </c>
      <c r="C76" s="5" t="s">
        <v>69</v>
      </c>
      <c r="D76" s="6" t="s">
        <v>168</v>
      </c>
      <c r="E76" s="6">
        <v>2000</v>
      </c>
      <c r="F76" s="6">
        <v>2000</v>
      </c>
      <c r="G76" s="6"/>
      <c r="H76" s="6"/>
      <c r="I76" s="8">
        <f t="shared" ref="I76:I96" si="6">((E76-F76)/E76)*100</f>
        <v>0</v>
      </c>
      <c r="J76" s="6" t="s">
        <v>45</v>
      </c>
      <c r="K76" s="6" t="s">
        <v>20</v>
      </c>
      <c r="L76" s="6" t="s">
        <v>26</v>
      </c>
      <c r="M76" s="6"/>
    </row>
    <row r="77" spans="1:13" ht="15" thickBot="1">
      <c r="A77" s="39"/>
      <c r="B77" s="5"/>
      <c r="C77" s="5"/>
      <c r="D77" s="6" t="s">
        <v>11</v>
      </c>
      <c r="E77" s="6">
        <v>1600</v>
      </c>
      <c r="F77" s="6">
        <v>1600</v>
      </c>
      <c r="G77" s="6">
        <v>1600</v>
      </c>
      <c r="H77" s="6">
        <v>1600</v>
      </c>
      <c r="I77" s="8">
        <f t="shared" si="6"/>
        <v>0</v>
      </c>
      <c r="J77" s="6" t="s">
        <v>45</v>
      </c>
      <c r="K77" s="6" t="s">
        <v>20</v>
      </c>
      <c r="L77" s="6" t="s">
        <v>26</v>
      </c>
      <c r="M77" s="6"/>
    </row>
    <row r="78" spans="1:13" ht="15" thickBot="1">
      <c r="A78" s="39"/>
      <c r="B78" s="5" t="s">
        <v>71</v>
      </c>
      <c r="C78" s="5" t="s">
        <v>69</v>
      </c>
      <c r="D78" s="6" t="s">
        <v>168</v>
      </c>
      <c r="E78" s="6">
        <v>500</v>
      </c>
      <c r="F78" s="6">
        <v>500</v>
      </c>
      <c r="G78" s="6"/>
      <c r="H78" s="6"/>
      <c r="I78" s="8">
        <f t="shared" si="6"/>
        <v>0</v>
      </c>
      <c r="J78" s="6" t="s">
        <v>45</v>
      </c>
      <c r="K78" s="6" t="s">
        <v>20</v>
      </c>
      <c r="L78" s="6" t="s">
        <v>26</v>
      </c>
      <c r="M78" s="6"/>
    </row>
    <row r="79" spans="1:13" ht="15" thickBot="1">
      <c r="A79" s="39"/>
      <c r="B79" s="5"/>
      <c r="C79" s="5"/>
      <c r="D79" s="6" t="s">
        <v>11</v>
      </c>
      <c r="E79" s="6">
        <v>250</v>
      </c>
      <c r="F79" s="6">
        <v>250</v>
      </c>
      <c r="G79" s="6">
        <v>250</v>
      </c>
      <c r="H79" s="6">
        <v>250</v>
      </c>
      <c r="I79" s="8">
        <f t="shared" si="6"/>
        <v>0</v>
      </c>
      <c r="J79" s="6" t="s">
        <v>45</v>
      </c>
      <c r="K79" s="6" t="s">
        <v>20</v>
      </c>
      <c r="L79" s="6" t="s">
        <v>27</v>
      </c>
      <c r="M79" s="6"/>
    </row>
    <row r="80" spans="1:13" ht="15" thickBot="1">
      <c r="A80" s="39"/>
      <c r="B80" s="5" t="s">
        <v>72</v>
      </c>
      <c r="C80" s="5" t="s">
        <v>73</v>
      </c>
      <c r="D80" s="6" t="s">
        <v>168</v>
      </c>
      <c r="E80" s="6">
        <v>200</v>
      </c>
      <c r="F80" s="6">
        <v>200</v>
      </c>
      <c r="G80" s="6"/>
      <c r="H80" s="6"/>
      <c r="I80" s="8">
        <f t="shared" si="6"/>
        <v>0</v>
      </c>
      <c r="J80" s="6" t="s">
        <v>45</v>
      </c>
      <c r="K80" s="6" t="s">
        <v>20</v>
      </c>
      <c r="L80" s="6" t="s">
        <v>23</v>
      </c>
      <c r="M80" s="6"/>
    </row>
    <row r="81" spans="1:13" ht="15" thickBot="1">
      <c r="A81" s="39"/>
      <c r="B81" s="5"/>
      <c r="C81" s="5"/>
      <c r="D81" s="6" t="s">
        <v>11</v>
      </c>
      <c r="E81" s="6">
        <v>150</v>
      </c>
      <c r="F81" s="6">
        <v>150</v>
      </c>
      <c r="G81" s="6">
        <v>150</v>
      </c>
      <c r="H81" s="6">
        <v>150</v>
      </c>
      <c r="I81" s="8">
        <f t="shared" si="6"/>
        <v>0</v>
      </c>
      <c r="J81" s="6" t="s">
        <v>45</v>
      </c>
      <c r="K81" s="6" t="s">
        <v>20</v>
      </c>
      <c r="L81" s="6" t="s">
        <v>27</v>
      </c>
      <c r="M81" s="6"/>
    </row>
    <row r="82" spans="1:13" ht="15" thickBot="1">
      <c r="A82" s="39"/>
      <c r="B82" s="5" t="s">
        <v>74</v>
      </c>
      <c r="C82" s="5" t="s">
        <v>69</v>
      </c>
      <c r="D82" s="6" t="s">
        <v>168</v>
      </c>
      <c r="E82" s="6">
        <v>1800</v>
      </c>
      <c r="F82" s="6">
        <v>1800</v>
      </c>
      <c r="G82" s="6"/>
      <c r="H82" s="6"/>
      <c r="I82" s="8">
        <f t="shared" si="6"/>
        <v>0</v>
      </c>
      <c r="J82" s="6" t="s">
        <v>45</v>
      </c>
      <c r="K82" s="6" t="s">
        <v>20</v>
      </c>
      <c r="L82" s="6" t="s">
        <v>75</v>
      </c>
      <c r="M82" s="6"/>
    </row>
    <row r="83" spans="1:13" ht="15" thickBot="1">
      <c r="A83" s="39"/>
      <c r="B83" s="5"/>
      <c r="C83" s="5"/>
      <c r="D83" s="6" t="s">
        <v>11</v>
      </c>
      <c r="E83" s="6">
        <v>1500</v>
      </c>
      <c r="F83" s="6">
        <v>1500</v>
      </c>
      <c r="G83" s="6">
        <v>1500</v>
      </c>
      <c r="H83" s="6">
        <v>1500</v>
      </c>
      <c r="I83" s="8">
        <f t="shared" si="6"/>
        <v>0</v>
      </c>
      <c r="J83" s="6" t="s">
        <v>45</v>
      </c>
      <c r="K83" s="6" t="s">
        <v>20</v>
      </c>
      <c r="L83" s="6" t="s">
        <v>27</v>
      </c>
      <c r="M83" s="6"/>
    </row>
    <row r="84" spans="1:13" ht="15" thickBot="1">
      <c r="A84" s="39"/>
      <c r="B84" s="5" t="s">
        <v>47</v>
      </c>
      <c r="C84" s="5" t="s">
        <v>58</v>
      </c>
      <c r="D84" s="6" t="s">
        <v>168</v>
      </c>
      <c r="E84" s="6">
        <v>250</v>
      </c>
      <c r="F84" s="6">
        <v>250</v>
      </c>
      <c r="G84" s="6"/>
      <c r="H84" s="6"/>
      <c r="I84" s="8">
        <f t="shared" si="6"/>
        <v>0</v>
      </c>
      <c r="J84" s="6" t="s">
        <v>45</v>
      </c>
      <c r="K84" s="6" t="s">
        <v>20</v>
      </c>
      <c r="L84" s="6" t="s">
        <v>55</v>
      </c>
      <c r="M84" s="6"/>
    </row>
    <row r="85" spans="1:13" ht="15" thickBot="1">
      <c r="A85" s="39"/>
      <c r="B85" s="5"/>
      <c r="C85" s="5"/>
      <c r="D85" s="6" t="s">
        <v>11</v>
      </c>
      <c r="E85" s="6">
        <v>125</v>
      </c>
      <c r="F85" s="6">
        <v>125</v>
      </c>
      <c r="G85" s="6">
        <v>125</v>
      </c>
      <c r="H85" s="6">
        <v>125</v>
      </c>
      <c r="I85" s="8">
        <f t="shared" si="6"/>
        <v>0</v>
      </c>
      <c r="J85" s="6" t="s">
        <v>45</v>
      </c>
      <c r="K85" s="6" t="s">
        <v>20</v>
      </c>
      <c r="L85" s="6" t="s">
        <v>59</v>
      </c>
      <c r="M85" s="6"/>
    </row>
    <row r="86" spans="1:13" ht="15" thickBot="1">
      <c r="A86" s="39"/>
      <c r="B86" s="5" t="s">
        <v>89</v>
      </c>
      <c r="C86" s="5" t="s">
        <v>180</v>
      </c>
      <c r="D86" s="6" t="s">
        <v>168</v>
      </c>
      <c r="E86" s="6">
        <v>500</v>
      </c>
      <c r="F86" s="6">
        <v>400</v>
      </c>
      <c r="G86" s="6"/>
      <c r="H86" s="6"/>
      <c r="I86" s="8">
        <f t="shared" si="6"/>
        <v>20</v>
      </c>
      <c r="J86" s="6" t="s">
        <v>45</v>
      </c>
      <c r="K86" s="6" t="s">
        <v>20</v>
      </c>
      <c r="L86" s="6" t="s">
        <v>13</v>
      </c>
      <c r="M86" s="6" t="s">
        <v>192</v>
      </c>
    </row>
    <row r="87" spans="1:13" ht="15" thickBot="1">
      <c r="A87" s="39"/>
      <c r="B87" s="5"/>
      <c r="C87" s="5"/>
      <c r="D87" s="6" t="s">
        <v>11</v>
      </c>
      <c r="E87" s="6">
        <v>300</v>
      </c>
      <c r="F87" s="6">
        <v>300</v>
      </c>
      <c r="G87" s="6">
        <v>300</v>
      </c>
      <c r="H87" s="6">
        <v>300</v>
      </c>
      <c r="I87" s="8">
        <f>((E87-H87)/E87)*100</f>
        <v>0</v>
      </c>
      <c r="J87" s="6" t="s">
        <v>45</v>
      </c>
      <c r="K87" s="6" t="s">
        <v>20</v>
      </c>
      <c r="L87" s="6" t="s">
        <v>27</v>
      </c>
      <c r="M87" s="6"/>
    </row>
    <row r="88" spans="1:13" ht="15" thickBot="1">
      <c r="A88" s="39"/>
      <c r="B88" s="5" t="s">
        <v>39</v>
      </c>
      <c r="C88" s="5" t="s">
        <v>132</v>
      </c>
      <c r="D88" s="6" t="s">
        <v>168</v>
      </c>
      <c r="E88" s="6">
        <v>300</v>
      </c>
      <c r="F88" s="6">
        <v>300</v>
      </c>
      <c r="G88" s="6"/>
      <c r="H88" s="6"/>
      <c r="I88" s="8">
        <f t="shared" si="6"/>
        <v>0</v>
      </c>
      <c r="J88" s="6" t="s">
        <v>45</v>
      </c>
      <c r="K88" s="6" t="s">
        <v>20</v>
      </c>
      <c r="L88" s="6" t="s">
        <v>26</v>
      </c>
      <c r="M88" s="6"/>
    </row>
    <row r="89" spans="1:13" ht="15" thickBot="1">
      <c r="A89" s="39"/>
      <c r="B89" s="5"/>
      <c r="C89" s="5"/>
      <c r="D89" s="6" t="s">
        <v>11</v>
      </c>
      <c r="E89" s="6">
        <v>150</v>
      </c>
      <c r="F89" s="6">
        <v>150</v>
      </c>
      <c r="G89" s="6">
        <v>150</v>
      </c>
      <c r="H89" s="6">
        <v>150</v>
      </c>
      <c r="I89" s="8">
        <f t="shared" si="6"/>
        <v>0</v>
      </c>
      <c r="J89" s="6" t="s">
        <v>45</v>
      </c>
      <c r="K89" s="6" t="s">
        <v>20</v>
      </c>
      <c r="L89" s="6" t="s">
        <v>27</v>
      </c>
      <c r="M89" s="6"/>
    </row>
    <row r="90" spans="1:13" ht="15" thickBot="1">
      <c r="A90" s="39"/>
      <c r="B90" s="5" t="s">
        <v>135</v>
      </c>
      <c r="C90" s="5" t="s">
        <v>77</v>
      </c>
      <c r="D90" s="6" t="s">
        <v>168</v>
      </c>
      <c r="E90" s="6">
        <v>600</v>
      </c>
      <c r="F90" s="6">
        <v>550</v>
      </c>
      <c r="G90" s="6"/>
      <c r="H90" s="6"/>
      <c r="I90" s="8">
        <f t="shared" si="6"/>
        <v>8.3333333333333321</v>
      </c>
      <c r="J90" s="6" t="s">
        <v>45</v>
      </c>
      <c r="K90" s="6" t="s">
        <v>20</v>
      </c>
      <c r="L90" s="6" t="s">
        <v>26</v>
      </c>
      <c r="M90" s="6" t="s">
        <v>185</v>
      </c>
    </row>
    <row r="91" spans="1:13" ht="15" thickBot="1">
      <c r="A91" s="39"/>
      <c r="B91" s="5"/>
      <c r="C91" s="5"/>
      <c r="D91" s="6" t="s">
        <v>11</v>
      </c>
      <c r="E91" s="6">
        <v>500</v>
      </c>
      <c r="F91" s="6">
        <v>300</v>
      </c>
      <c r="G91" s="6">
        <v>300</v>
      </c>
      <c r="H91" s="6">
        <v>300</v>
      </c>
      <c r="I91" s="8">
        <f t="shared" si="6"/>
        <v>40</v>
      </c>
      <c r="J91" s="6" t="s">
        <v>45</v>
      </c>
      <c r="K91" s="6" t="s">
        <v>20</v>
      </c>
      <c r="L91" s="6" t="s">
        <v>26</v>
      </c>
      <c r="M91" s="6"/>
    </row>
    <row r="92" spans="1:13" ht="15" thickBot="1">
      <c r="A92" s="39"/>
      <c r="B92" s="5" t="s">
        <v>133</v>
      </c>
      <c r="C92" s="5" t="s">
        <v>134</v>
      </c>
      <c r="D92" s="6" t="s">
        <v>168</v>
      </c>
      <c r="E92" s="6">
        <v>500</v>
      </c>
      <c r="F92" s="6">
        <v>500</v>
      </c>
      <c r="G92" s="6"/>
      <c r="H92" s="6"/>
      <c r="I92" s="8">
        <f t="shared" si="6"/>
        <v>0</v>
      </c>
      <c r="J92" s="6" t="s">
        <v>45</v>
      </c>
      <c r="K92" s="6" t="s">
        <v>20</v>
      </c>
      <c r="L92" s="6" t="s">
        <v>26</v>
      </c>
      <c r="M92" s="6"/>
    </row>
    <row r="93" spans="1:13" ht="15" thickBot="1">
      <c r="A93" s="39"/>
      <c r="B93" s="5"/>
      <c r="C93" s="5"/>
      <c r="D93" s="6" t="s">
        <v>11</v>
      </c>
      <c r="E93" s="6">
        <v>450</v>
      </c>
      <c r="F93" s="6">
        <v>450</v>
      </c>
      <c r="G93" s="6">
        <v>450</v>
      </c>
      <c r="H93" s="6">
        <v>450</v>
      </c>
      <c r="I93" s="8">
        <f>((E93-H93)/E93)*100</f>
        <v>0</v>
      </c>
      <c r="J93" s="6" t="s">
        <v>45</v>
      </c>
      <c r="K93" s="6" t="s">
        <v>20</v>
      </c>
      <c r="L93" s="6" t="s">
        <v>26</v>
      </c>
      <c r="M93" s="6"/>
    </row>
    <row r="94" spans="1:13" ht="15" thickBot="1">
      <c r="A94" s="39"/>
      <c r="B94" s="5" t="s">
        <v>136</v>
      </c>
      <c r="C94" s="5" t="s">
        <v>22</v>
      </c>
      <c r="D94" s="6" t="s">
        <v>168</v>
      </c>
      <c r="E94" s="6">
        <v>300</v>
      </c>
      <c r="F94" s="6">
        <v>300</v>
      </c>
      <c r="G94" s="6"/>
      <c r="H94" s="6"/>
      <c r="I94" s="8">
        <f t="shared" si="6"/>
        <v>0</v>
      </c>
      <c r="J94" s="6" t="s">
        <v>45</v>
      </c>
      <c r="K94" s="6" t="s">
        <v>20</v>
      </c>
      <c r="L94" s="6" t="s">
        <v>26</v>
      </c>
      <c r="M94" s="6"/>
    </row>
    <row r="95" spans="1:13" ht="15" thickBot="1">
      <c r="A95" s="39"/>
      <c r="B95" s="5"/>
      <c r="C95" s="5"/>
      <c r="D95" s="6" t="s">
        <v>11</v>
      </c>
      <c r="E95" s="6">
        <v>200</v>
      </c>
      <c r="F95" s="6">
        <v>200</v>
      </c>
      <c r="G95" s="6">
        <v>200</v>
      </c>
      <c r="H95" s="6">
        <v>200</v>
      </c>
      <c r="I95" s="8">
        <f t="shared" si="6"/>
        <v>0</v>
      </c>
      <c r="J95" s="6" t="s">
        <v>45</v>
      </c>
      <c r="K95" s="6" t="s">
        <v>28</v>
      </c>
      <c r="L95" s="6" t="s">
        <v>27</v>
      </c>
      <c r="M95" s="6"/>
    </row>
    <row r="96" spans="1:13" ht="15" thickBot="1">
      <c r="A96" s="39"/>
      <c r="B96" s="5" t="s">
        <v>137</v>
      </c>
      <c r="C96" s="5" t="s">
        <v>138</v>
      </c>
      <c r="D96" s="6" t="s">
        <v>168</v>
      </c>
      <c r="E96" s="6">
        <v>1000</v>
      </c>
      <c r="F96" s="6">
        <v>1000</v>
      </c>
      <c r="G96" s="6"/>
      <c r="H96" s="6"/>
      <c r="I96" s="8">
        <f t="shared" si="6"/>
        <v>0</v>
      </c>
      <c r="J96" s="6" t="s">
        <v>45</v>
      </c>
      <c r="K96" s="6" t="s">
        <v>20</v>
      </c>
      <c r="L96" s="6" t="s">
        <v>13</v>
      </c>
      <c r="M96" s="6"/>
    </row>
    <row r="97" spans="1:13" ht="15" thickBot="1">
      <c r="A97" s="39"/>
      <c r="B97" s="5"/>
      <c r="C97" s="5"/>
      <c r="D97" s="6" t="s">
        <v>11</v>
      </c>
      <c r="E97" s="6">
        <v>800</v>
      </c>
      <c r="F97" s="6">
        <v>800</v>
      </c>
      <c r="G97" s="6">
        <v>800</v>
      </c>
      <c r="H97" s="6">
        <v>800</v>
      </c>
      <c r="I97" s="8">
        <f>((E97-F97)/E97)*100</f>
        <v>0</v>
      </c>
      <c r="J97" s="6" t="s">
        <v>45</v>
      </c>
      <c r="K97" s="6" t="s">
        <v>20</v>
      </c>
      <c r="L97" s="6" t="s">
        <v>27</v>
      </c>
      <c r="M97" s="6"/>
    </row>
    <row r="98" spans="1:13" ht="15" thickBot="1">
      <c r="A98" s="39"/>
      <c r="B98" s="10" t="s">
        <v>186</v>
      </c>
      <c r="C98" s="11"/>
      <c r="D98" s="12"/>
      <c r="E98" s="12"/>
      <c r="F98" s="12"/>
      <c r="G98" s="12"/>
      <c r="H98" s="12"/>
      <c r="I98" s="15">
        <f>AVERAGE(I74,I76,I78,I80,I82,I84,I86,I88,I90,I92,I94,I96)</f>
        <v>2.3611111111111112</v>
      </c>
      <c r="J98" s="12"/>
      <c r="K98" s="12"/>
      <c r="L98" s="12"/>
      <c r="M98" s="14"/>
    </row>
    <row r="99" spans="1:13" ht="15" thickBot="1">
      <c r="A99" s="39"/>
      <c r="B99" s="10" t="s">
        <v>187</v>
      </c>
      <c r="C99" s="11"/>
      <c r="D99" s="12"/>
      <c r="E99" s="12"/>
      <c r="F99" s="12"/>
      <c r="G99" s="12"/>
      <c r="H99" s="12"/>
      <c r="I99" s="15">
        <f>AVERAGE(I75,I77,I79,I81,I83,I85,I87,I89,I91,I93,I95,I97)</f>
        <v>4.7222222222222223</v>
      </c>
      <c r="J99" s="12"/>
      <c r="K99" s="12"/>
      <c r="L99" s="12"/>
      <c r="M99" s="14"/>
    </row>
    <row r="100" spans="1:13" ht="15" thickBot="1">
      <c r="A100" s="39"/>
      <c r="B100" s="28" t="s">
        <v>76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30"/>
    </row>
    <row r="101" spans="1:13" ht="15" thickBot="1">
      <c r="A101" s="39"/>
      <c r="B101" s="5" t="s">
        <v>79</v>
      </c>
      <c r="C101" s="5" t="s">
        <v>81</v>
      </c>
      <c r="D101" s="6" t="s">
        <v>168</v>
      </c>
      <c r="E101" s="6">
        <v>200</v>
      </c>
      <c r="F101" s="6">
        <v>200</v>
      </c>
      <c r="G101" s="6"/>
      <c r="H101" s="6"/>
      <c r="I101" s="8">
        <f>((E101-F101)/E101)*100</f>
        <v>0</v>
      </c>
      <c r="J101" s="6" t="s">
        <v>45</v>
      </c>
      <c r="K101" s="6" t="s">
        <v>20</v>
      </c>
      <c r="L101" s="6" t="s">
        <v>27</v>
      </c>
      <c r="M101" s="6"/>
    </row>
    <row r="102" spans="1:13" ht="15" thickBot="1">
      <c r="A102" s="39"/>
      <c r="B102" s="5"/>
      <c r="C102" s="5"/>
      <c r="D102" s="6" t="s">
        <v>11</v>
      </c>
      <c r="E102" s="6">
        <v>150</v>
      </c>
      <c r="F102" s="6">
        <v>150</v>
      </c>
      <c r="G102" s="6">
        <v>150</v>
      </c>
      <c r="H102" s="6">
        <v>150</v>
      </c>
      <c r="I102" s="8">
        <f t="shared" ref="I102:I108" si="7">((E102-F102)/E102)*100</f>
        <v>0</v>
      </c>
      <c r="J102" s="6" t="s">
        <v>45</v>
      </c>
      <c r="K102" s="6" t="s">
        <v>28</v>
      </c>
      <c r="L102" s="6" t="s">
        <v>27</v>
      </c>
      <c r="M102" s="6"/>
    </row>
    <row r="103" spans="1:13" ht="15" thickBot="1">
      <c r="A103" s="39"/>
      <c r="B103" s="5" t="s">
        <v>80</v>
      </c>
      <c r="C103" s="5" t="s">
        <v>81</v>
      </c>
      <c r="D103" s="6" t="s">
        <v>168</v>
      </c>
      <c r="E103" s="6">
        <v>300</v>
      </c>
      <c r="F103" s="6">
        <v>300</v>
      </c>
      <c r="G103" s="6"/>
      <c r="H103" s="6"/>
      <c r="I103" s="8">
        <f t="shared" si="7"/>
        <v>0</v>
      </c>
      <c r="J103" s="6" t="s">
        <v>45</v>
      </c>
      <c r="K103" s="6" t="s">
        <v>20</v>
      </c>
      <c r="L103" s="6" t="s">
        <v>31</v>
      </c>
      <c r="M103" s="6"/>
    </row>
    <row r="104" spans="1:13" ht="15" thickBot="1">
      <c r="A104" s="39"/>
      <c r="B104" s="5"/>
      <c r="C104" s="5"/>
      <c r="D104" s="6" t="s">
        <v>11</v>
      </c>
      <c r="E104" s="6">
        <v>250</v>
      </c>
      <c r="F104" s="6">
        <v>250</v>
      </c>
      <c r="G104" s="6">
        <v>250</v>
      </c>
      <c r="H104" s="6">
        <v>250</v>
      </c>
      <c r="I104" s="8">
        <f t="shared" si="7"/>
        <v>0</v>
      </c>
      <c r="J104" s="6" t="s">
        <v>45</v>
      </c>
      <c r="K104" s="6" t="s">
        <v>82</v>
      </c>
      <c r="L104" s="6" t="s">
        <v>27</v>
      </c>
      <c r="M104" s="6"/>
    </row>
    <row r="105" spans="1:13" ht="15" thickBot="1">
      <c r="A105" s="39"/>
      <c r="B105" s="5" t="s">
        <v>83</v>
      </c>
      <c r="C105" s="5" t="s">
        <v>84</v>
      </c>
      <c r="D105" s="6" t="s">
        <v>168</v>
      </c>
      <c r="E105" s="6">
        <v>100</v>
      </c>
      <c r="F105" s="6">
        <v>100</v>
      </c>
      <c r="G105" s="6"/>
      <c r="H105" s="6"/>
      <c r="I105" s="8">
        <f t="shared" si="7"/>
        <v>0</v>
      </c>
      <c r="J105" s="6" t="s">
        <v>45</v>
      </c>
      <c r="K105" s="6" t="s">
        <v>20</v>
      </c>
      <c r="L105" s="6" t="s">
        <v>27</v>
      </c>
      <c r="M105" s="6"/>
    </row>
    <row r="106" spans="1:13" ht="15" thickBot="1">
      <c r="A106" s="39"/>
      <c r="B106" s="5"/>
      <c r="C106" s="5"/>
      <c r="D106" s="6" t="s">
        <v>11</v>
      </c>
      <c r="E106" s="6">
        <f>4*15</f>
        <v>60</v>
      </c>
      <c r="F106" s="6">
        <v>60</v>
      </c>
      <c r="G106" s="6">
        <v>60</v>
      </c>
      <c r="H106" s="6">
        <v>60</v>
      </c>
      <c r="I106" s="8">
        <f t="shared" si="7"/>
        <v>0</v>
      </c>
      <c r="J106" s="6" t="s">
        <v>45</v>
      </c>
      <c r="K106" s="6" t="s">
        <v>28</v>
      </c>
      <c r="L106" s="6" t="s">
        <v>27</v>
      </c>
      <c r="M106" s="6"/>
    </row>
    <row r="107" spans="1:13" ht="15" thickBot="1">
      <c r="A107" s="39"/>
      <c r="B107" s="5" t="s">
        <v>85</v>
      </c>
      <c r="C107" s="5" t="s">
        <v>22</v>
      </c>
      <c r="D107" s="6" t="s">
        <v>168</v>
      </c>
      <c r="E107" s="6">
        <v>300</v>
      </c>
      <c r="F107" s="6">
        <v>300</v>
      </c>
      <c r="G107" s="6"/>
      <c r="H107" s="6"/>
      <c r="I107" s="8">
        <f t="shared" si="7"/>
        <v>0</v>
      </c>
      <c r="J107" s="6" t="s">
        <v>45</v>
      </c>
      <c r="K107" s="6" t="s">
        <v>20</v>
      </c>
      <c r="L107" s="6" t="s">
        <v>31</v>
      </c>
      <c r="M107" s="6"/>
    </row>
    <row r="108" spans="1:13" ht="15" thickBot="1">
      <c r="A108" s="39"/>
      <c r="B108" s="5"/>
      <c r="C108" s="5"/>
      <c r="D108" s="6" t="s">
        <v>11</v>
      </c>
      <c r="E108" s="6">
        <v>150</v>
      </c>
      <c r="F108" s="6">
        <v>150</v>
      </c>
      <c r="G108" s="6">
        <v>150</v>
      </c>
      <c r="H108" s="6">
        <v>150</v>
      </c>
      <c r="I108" s="8">
        <f t="shared" si="7"/>
        <v>0</v>
      </c>
      <c r="J108" s="6" t="s">
        <v>45</v>
      </c>
      <c r="K108" s="6" t="s">
        <v>28</v>
      </c>
      <c r="L108" s="6" t="s">
        <v>27</v>
      </c>
      <c r="M108" s="6"/>
    </row>
    <row r="109" spans="1:13" ht="15" thickBot="1">
      <c r="A109" s="39"/>
      <c r="B109" s="10" t="s">
        <v>186</v>
      </c>
      <c r="C109" s="11"/>
      <c r="D109" s="12"/>
      <c r="E109" s="12"/>
      <c r="F109" s="12"/>
      <c r="G109" s="12"/>
      <c r="H109" s="12"/>
      <c r="I109" s="15">
        <f>AVERAGE(I101+I103+I105+I107)</f>
        <v>0</v>
      </c>
      <c r="J109" s="12"/>
      <c r="K109" s="12"/>
      <c r="L109" s="12"/>
      <c r="M109" s="14"/>
    </row>
    <row r="110" spans="1:13" ht="15" thickBot="1">
      <c r="A110" s="39"/>
      <c r="B110" s="10" t="s">
        <v>187</v>
      </c>
      <c r="C110" s="11"/>
      <c r="D110" s="12"/>
      <c r="E110" s="12"/>
      <c r="F110" s="12"/>
      <c r="G110" s="12"/>
      <c r="H110" s="12"/>
      <c r="I110" s="15">
        <f>AVERAGE(I102+I104+I106+I108)</f>
        <v>0</v>
      </c>
      <c r="J110" s="12"/>
      <c r="K110" s="12"/>
      <c r="L110" s="12"/>
      <c r="M110" s="14"/>
    </row>
    <row r="111" spans="1:13" ht="15" thickBot="1">
      <c r="A111" s="39"/>
      <c r="B111" s="28" t="s">
        <v>86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30"/>
    </row>
    <row r="112" spans="1:13" ht="15" thickBot="1">
      <c r="A112" s="39"/>
      <c r="B112" s="5" t="s">
        <v>87</v>
      </c>
      <c r="C112" s="5" t="s">
        <v>88</v>
      </c>
      <c r="D112" s="6" t="s">
        <v>168</v>
      </c>
      <c r="E112" s="6">
        <v>250</v>
      </c>
      <c r="F112" s="6">
        <v>250</v>
      </c>
      <c r="G112" s="6"/>
      <c r="H112" s="6"/>
      <c r="I112" s="8">
        <f>((E112-F112)/E112)*100</f>
        <v>0</v>
      </c>
      <c r="J112" s="6" t="s">
        <v>45</v>
      </c>
      <c r="K112" s="6" t="s">
        <v>20</v>
      </c>
      <c r="L112" s="6" t="s">
        <v>55</v>
      </c>
      <c r="M112" s="6"/>
    </row>
    <row r="113" spans="1:13" ht="15" thickBot="1">
      <c r="A113" s="39"/>
      <c r="B113" s="5"/>
      <c r="C113" s="5"/>
      <c r="D113" s="6" t="s">
        <v>11</v>
      </c>
      <c r="E113" s="6">
        <v>200</v>
      </c>
      <c r="F113" s="6">
        <v>100</v>
      </c>
      <c r="G113" s="6">
        <v>100</v>
      </c>
      <c r="H113" s="6">
        <v>100</v>
      </c>
      <c r="I113" s="8">
        <f t="shared" ref="I113:I137" si="8">((E113-F113)/E113)*100</f>
        <v>50</v>
      </c>
      <c r="J113" s="6" t="s">
        <v>45</v>
      </c>
      <c r="K113" s="6" t="s">
        <v>20</v>
      </c>
      <c r="L113" s="6" t="s">
        <v>55</v>
      </c>
      <c r="M113" s="6" t="s">
        <v>185</v>
      </c>
    </row>
    <row r="114" spans="1:13" ht="15" thickBot="1">
      <c r="A114" s="39"/>
      <c r="B114" s="5" t="s">
        <v>89</v>
      </c>
      <c r="C114" s="5" t="s">
        <v>88</v>
      </c>
      <c r="D114" s="6" t="s">
        <v>168</v>
      </c>
      <c r="E114" s="6">
        <v>800</v>
      </c>
      <c r="F114" s="6">
        <v>800</v>
      </c>
      <c r="G114" s="6"/>
      <c r="H114" s="6"/>
      <c r="I114" s="8">
        <f t="shared" si="8"/>
        <v>0</v>
      </c>
      <c r="J114" s="6" t="s">
        <v>45</v>
      </c>
      <c r="K114" s="6" t="s">
        <v>20</v>
      </c>
      <c r="L114" s="6" t="s">
        <v>55</v>
      </c>
      <c r="M114" s="6"/>
    </row>
    <row r="115" spans="1:13" ht="15" thickBot="1">
      <c r="A115" s="39"/>
      <c r="B115" s="5"/>
      <c r="C115" s="5"/>
      <c r="D115" s="6" t="s">
        <v>11</v>
      </c>
      <c r="E115" s="6">
        <v>750</v>
      </c>
      <c r="F115" s="6">
        <v>750</v>
      </c>
      <c r="G115" s="6">
        <v>750</v>
      </c>
      <c r="H115" s="6">
        <v>750</v>
      </c>
      <c r="I115" s="8">
        <f t="shared" si="8"/>
        <v>0</v>
      </c>
      <c r="J115" s="6" t="s">
        <v>45</v>
      </c>
      <c r="K115" s="6" t="s">
        <v>9</v>
      </c>
      <c r="L115" s="6" t="s">
        <v>26</v>
      </c>
      <c r="M115" s="6"/>
    </row>
    <row r="116" spans="1:13" ht="15" thickBot="1">
      <c r="A116" s="39"/>
      <c r="B116" s="5" t="s">
        <v>90</v>
      </c>
      <c r="C116" s="5" t="s">
        <v>88</v>
      </c>
      <c r="D116" s="6" t="s">
        <v>168</v>
      </c>
      <c r="E116" s="6">
        <v>900</v>
      </c>
      <c r="F116" s="6">
        <v>900</v>
      </c>
      <c r="G116" s="6"/>
      <c r="H116" s="6"/>
      <c r="I116" s="8">
        <f t="shared" si="8"/>
        <v>0</v>
      </c>
      <c r="J116" s="6" t="s">
        <v>45</v>
      </c>
      <c r="K116" s="6" t="s">
        <v>9</v>
      </c>
      <c r="L116" s="6" t="s">
        <v>26</v>
      </c>
      <c r="M116" s="6"/>
    </row>
    <row r="117" spans="1:13" ht="15" thickBot="1">
      <c r="A117" s="39"/>
      <c r="B117" s="5"/>
      <c r="C117" s="5"/>
      <c r="D117" s="6" t="s">
        <v>11</v>
      </c>
      <c r="E117" s="6">
        <v>700</v>
      </c>
      <c r="F117" s="6">
        <v>650</v>
      </c>
      <c r="G117" s="6">
        <v>600</v>
      </c>
      <c r="H117" s="6">
        <v>600</v>
      </c>
      <c r="I117" s="8">
        <f>((E117-H117)/E117)*100</f>
        <v>14.285714285714285</v>
      </c>
      <c r="J117" s="6" t="s">
        <v>45</v>
      </c>
      <c r="K117" s="6" t="s">
        <v>9</v>
      </c>
      <c r="L117" s="6" t="s">
        <v>26</v>
      </c>
      <c r="M117" s="6" t="s">
        <v>179</v>
      </c>
    </row>
    <row r="118" spans="1:13" ht="15" thickBot="1">
      <c r="A118" s="39"/>
      <c r="B118" s="5" t="s">
        <v>91</v>
      </c>
      <c r="C118" s="5" t="s">
        <v>92</v>
      </c>
      <c r="D118" s="6" t="s">
        <v>168</v>
      </c>
      <c r="E118" s="6">
        <v>1500</v>
      </c>
      <c r="F118" s="6">
        <v>1500</v>
      </c>
      <c r="G118" s="6"/>
      <c r="H118" s="6"/>
      <c r="I118" s="8">
        <f t="shared" si="8"/>
        <v>0</v>
      </c>
      <c r="J118" s="6" t="s">
        <v>45</v>
      </c>
      <c r="K118" s="6" t="s">
        <v>9</v>
      </c>
      <c r="L118" s="6" t="s">
        <v>26</v>
      </c>
      <c r="M118" s="6"/>
    </row>
    <row r="119" spans="1:13" ht="15" thickBot="1">
      <c r="A119" s="39"/>
      <c r="B119" s="5"/>
      <c r="C119" s="5"/>
      <c r="D119" s="6" t="s">
        <v>11</v>
      </c>
      <c r="E119" s="6">
        <v>1200</v>
      </c>
      <c r="F119" s="6">
        <v>1100</v>
      </c>
      <c r="G119" s="6">
        <v>1000</v>
      </c>
      <c r="H119" s="6">
        <v>1000</v>
      </c>
      <c r="I119" s="8">
        <f t="shared" si="8"/>
        <v>8.3333333333333321</v>
      </c>
      <c r="J119" s="6" t="s">
        <v>45</v>
      </c>
      <c r="K119" s="6" t="s">
        <v>9</v>
      </c>
      <c r="L119" s="6" t="s">
        <v>26</v>
      </c>
      <c r="M119" s="6" t="s">
        <v>193</v>
      </c>
    </row>
    <row r="120" spans="1:13" ht="15" thickBot="1">
      <c r="A120" s="39"/>
      <c r="B120" s="5" t="s">
        <v>139</v>
      </c>
      <c r="C120" s="5" t="s">
        <v>140</v>
      </c>
      <c r="D120" s="6" t="s">
        <v>168</v>
      </c>
      <c r="E120" s="6">
        <v>800</v>
      </c>
      <c r="F120" s="6">
        <v>750</v>
      </c>
      <c r="G120" s="6"/>
      <c r="H120" s="6"/>
      <c r="I120" s="8">
        <f t="shared" si="8"/>
        <v>6.25</v>
      </c>
      <c r="J120" s="6" t="s">
        <v>45</v>
      </c>
      <c r="K120" s="6" t="s">
        <v>9</v>
      </c>
      <c r="L120" s="6" t="s">
        <v>26</v>
      </c>
      <c r="M120" s="6" t="s">
        <v>54</v>
      </c>
    </row>
    <row r="121" spans="1:13" ht="15" thickBot="1">
      <c r="A121" s="39"/>
      <c r="B121" s="5"/>
      <c r="C121" s="5"/>
      <c r="D121" s="6" t="s">
        <v>11</v>
      </c>
      <c r="E121" s="6">
        <v>500</v>
      </c>
      <c r="F121" s="6">
        <v>500</v>
      </c>
      <c r="G121" s="6">
        <v>450</v>
      </c>
      <c r="H121" s="6">
        <v>450</v>
      </c>
      <c r="I121" s="8">
        <f>((E121-H121)/E121)*100</f>
        <v>10</v>
      </c>
      <c r="J121" s="6" t="s">
        <v>45</v>
      </c>
      <c r="K121" s="6" t="s">
        <v>9</v>
      </c>
      <c r="L121" s="6" t="s">
        <v>26</v>
      </c>
      <c r="M121" s="6" t="s">
        <v>182</v>
      </c>
    </row>
    <row r="122" spans="1:13" ht="15" thickBot="1">
      <c r="A122" s="39"/>
      <c r="B122" s="5" t="s">
        <v>141</v>
      </c>
      <c r="C122" s="5" t="s">
        <v>92</v>
      </c>
      <c r="D122" s="6" t="s">
        <v>168</v>
      </c>
      <c r="E122" s="6">
        <v>250</v>
      </c>
      <c r="F122" s="6">
        <v>200</v>
      </c>
      <c r="G122" s="6"/>
      <c r="H122" s="6"/>
      <c r="I122" s="8">
        <f t="shared" si="8"/>
        <v>20</v>
      </c>
      <c r="J122" s="6" t="s">
        <v>45</v>
      </c>
      <c r="K122" s="6" t="s">
        <v>9</v>
      </c>
      <c r="L122" s="6" t="s">
        <v>26</v>
      </c>
      <c r="M122" s="6" t="s">
        <v>172</v>
      </c>
    </row>
    <row r="123" spans="1:13" ht="15" thickBot="1">
      <c r="A123" s="39"/>
      <c r="B123" s="5"/>
      <c r="C123" s="5"/>
      <c r="D123" s="6" t="s">
        <v>11</v>
      </c>
      <c r="E123" s="6">
        <v>150</v>
      </c>
      <c r="F123" s="6">
        <v>125</v>
      </c>
      <c r="G123" s="6">
        <v>100</v>
      </c>
      <c r="H123" s="6">
        <v>100</v>
      </c>
      <c r="I123" s="8">
        <f>((E123-H123)/E123)*100</f>
        <v>33.333333333333329</v>
      </c>
      <c r="J123" s="6" t="s">
        <v>45</v>
      </c>
      <c r="K123" s="6" t="s">
        <v>9</v>
      </c>
      <c r="L123" s="6" t="s">
        <v>26</v>
      </c>
      <c r="M123" s="6" t="s">
        <v>194</v>
      </c>
    </row>
    <row r="124" spans="1:13" ht="15" thickBot="1">
      <c r="A124" s="39"/>
      <c r="B124" s="5" t="s">
        <v>29</v>
      </c>
      <c r="C124" s="5" t="s">
        <v>92</v>
      </c>
      <c r="D124" s="6" t="s">
        <v>168</v>
      </c>
      <c r="E124" s="6">
        <v>100</v>
      </c>
      <c r="F124" s="6">
        <v>100</v>
      </c>
      <c r="G124" s="6"/>
      <c r="H124" s="6"/>
      <c r="I124" s="8">
        <f t="shared" si="8"/>
        <v>0</v>
      </c>
      <c r="J124" s="6" t="s">
        <v>45</v>
      </c>
      <c r="K124" s="6" t="s">
        <v>9</v>
      </c>
      <c r="L124" s="6" t="s">
        <v>26</v>
      </c>
      <c r="M124" s="6"/>
    </row>
    <row r="125" spans="1:13" ht="15" thickBot="1">
      <c r="A125" s="39"/>
      <c r="B125" s="5"/>
      <c r="C125" s="5"/>
      <c r="D125" s="6" t="s">
        <v>11</v>
      </c>
      <c r="E125" s="6">
        <v>80</v>
      </c>
      <c r="F125" s="6">
        <v>80</v>
      </c>
      <c r="G125" s="6">
        <v>80</v>
      </c>
      <c r="H125" s="6">
        <v>80</v>
      </c>
      <c r="I125" s="8">
        <f t="shared" si="8"/>
        <v>0</v>
      </c>
      <c r="J125" s="6" t="s">
        <v>45</v>
      </c>
      <c r="K125" s="6" t="s">
        <v>28</v>
      </c>
      <c r="L125" s="6" t="s">
        <v>27</v>
      </c>
      <c r="M125" s="6"/>
    </row>
    <row r="126" spans="1:13" ht="15" thickBot="1">
      <c r="A126" s="39"/>
      <c r="B126" s="5" t="s">
        <v>38</v>
      </c>
      <c r="C126" s="5" t="s">
        <v>142</v>
      </c>
      <c r="D126" s="6" t="s">
        <v>168</v>
      </c>
      <c r="E126" s="6">
        <v>500</v>
      </c>
      <c r="F126" s="6">
        <v>450</v>
      </c>
      <c r="G126" s="6"/>
      <c r="H126" s="6"/>
      <c r="I126" s="8">
        <f t="shared" si="8"/>
        <v>10</v>
      </c>
      <c r="J126" s="6" t="s">
        <v>45</v>
      </c>
      <c r="K126" s="6" t="s">
        <v>9</v>
      </c>
      <c r="L126" s="6" t="s">
        <v>26</v>
      </c>
      <c r="M126" s="6"/>
    </row>
    <row r="127" spans="1:13" ht="15" thickBot="1">
      <c r="A127" s="39"/>
      <c r="B127" s="5"/>
      <c r="C127" s="5"/>
      <c r="D127" s="6" t="s">
        <v>11</v>
      </c>
      <c r="E127" s="6">
        <v>350</v>
      </c>
      <c r="F127" s="6">
        <v>325</v>
      </c>
      <c r="G127" s="6">
        <v>300</v>
      </c>
      <c r="H127" s="6">
        <v>300</v>
      </c>
      <c r="I127" s="8">
        <f>((E127-H127)/E127)*100</f>
        <v>14.285714285714285</v>
      </c>
      <c r="J127" s="6" t="s">
        <v>45</v>
      </c>
      <c r="K127" s="6" t="s">
        <v>9</v>
      </c>
      <c r="L127" s="6" t="s">
        <v>26</v>
      </c>
      <c r="M127" s="6" t="s">
        <v>185</v>
      </c>
    </row>
    <row r="128" spans="1:13" ht="15" thickBot="1">
      <c r="A128" s="39"/>
      <c r="B128" s="5" t="s">
        <v>80</v>
      </c>
      <c r="C128" s="5" t="s">
        <v>57</v>
      </c>
      <c r="D128" s="6" t="s">
        <v>168</v>
      </c>
      <c r="E128" s="6">
        <v>2000</v>
      </c>
      <c r="F128" s="6">
        <v>2000</v>
      </c>
      <c r="G128" s="6"/>
      <c r="H128" s="6"/>
      <c r="I128" s="8">
        <f t="shared" si="8"/>
        <v>0</v>
      </c>
      <c r="J128" s="6" t="s">
        <v>45</v>
      </c>
      <c r="K128" s="6" t="s">
        <v>9</v>
      </c>
      <c r="L128" s="6" t="s">
        <v>26</v>
      </c>
      <c r="M128" s="6"/>
    </row>
    <row r="129" spans="1:15" ht="15" thickBot="1">
      <c r="A129" s="39"/>
      <c r="B129" s="5"/>
      <c r="C129" s="5"/>
      <c r="D129" s="6" t="s">
        <v>11</v>
      </c>
      <c r="E129" s="6">
        <v>1600</v>
      </c>
      <c r="F129" s="6">
        <v>1500</v>
      </c>
      <c r="G129" s="6">
        <v>1500</v>
      </c>
      <c r="H129" s="6">
        <v>1500</v>
      </c>
      <c r="I129" s="8">
        <f t="shared" si="8"/>
        <v>6.25</v>
      </c>
      <c r="J129" s="6" t="s">
        <v>45</v>
      </c>
      <c r="K129" s="6" t="s">
        <v>9</v>
      </c>
      <c r="L129" s="6" t="s">
        <v>26</v>
      </c>
      <c r="M129" s="6" t="s">
        <v>185</v>
      </c>
    </row>
    <row r="130" spans="1:15" ht="15" thickBot="1">
      <c r="A130" s="39"/>
      <c r="B130" s="5" t="s">
        <v>143</v>
      </c>
      <c r="C130" s="5" t="s">
        <v>92</v>
      </c>
      <c r="D130" s="6" t="s">
        <v>168</v>
      </c>
      <c r="E130" s="6">
        <v>3000</v>
      </c>
      <c r="F130" s="6">
        <v>3000</v>
      </c>
      <c r="G130" s="6"/>
      <c r="H130" s="6"/>
      <c r="I130" s="8">
        <f t="shared" si="8"/>
        <v>0</v>
      </c>
      <c r="J130" s="6" t="s">
        <v>45</v>
      </c>
      <c r="K130" s="6" t="s">
        <v>9</v>
      </c>
      <c r="L130" s="6" t="s">
        <v>26</v>
      </c>
      <c r="M130" s="6"/>
    </row>
    <row r="131" spans="1:15" ht="15" thickBot="1">
      <c r="A131" s="39"/>
      <c r="B131" s="5"/>
      <c r="C131" s="5"/>
      <c r="D131" s="6" t="s">
        <v>11</v>
      </c>
      <c r="E131" s="6">
        <v>2500</v>
      </c>
      <c r="F131" s="6">
        <v>2500</v>
      </c>
      <c r="G131" s="6">
        <v>2500</v>
      </c>
      <c r="H131" s="6">
        <v>2500</v>
      </c>
      <c r="I131" s="8">
        <f t="shared" si="8"/>
        <v>0</v>
      </c>
      <c r="J131" s="6" t="s">
        <v>45</v>
      </c>
      <c r="K131" s="6" t="s">
        <v>9</v>
      </c>
      <c r="L131" s="6" t="s">
        <v>26</v>
      </c>
      <c r="M131" s="6"/>
    </row>
    <row r="132" spans="1:15" ht="15" thickBot="1">
      <c r="A132" s="39"/>
      <c r="B132" s="5" t="s">
        <v>144</v>
      </c>
      <c r="C132" s="5" t="s">
        <v>145</v>
      </c>
      <c r="D132" s="6" t="s">
        <v>168</v>
      </c>
      <c r="E132" s="6">
        <v>800</v>
      </c>
      <c r="F132" s="6">
        <v>800</v>
      </c>
      <c r="G132" s="6"/>
      <c r="H132" s="6"/>
      <c r="I132" s="8">
        <f t="shared" si="8"/>
        <v>0</v>
      </c>
      <c r="J132" s="6" t="s">
        <v>45</v>
      </c>
      <c r="K132" s="6" t="s">
        <v>9</v>
      </c>
      <c r="L132" s="6" t="s">
        <v>26</v>
      </c>
      <c r="M132" s="6"/>
    </row>
    <row r="133" spans="1:15" ht="15" thickBot="1">
      <c r="A133" s="39"/>
      <c r="B133" s="5"/>
      <c r="C133" s="5"/>
      <c r="D133" s="6" t="s">
        <v>11</v>
      </c>
      <c r="E133" s="6">
        <v>650</v>
      </c>
      <c r="F133" s="6">
        <v>600</v>
      </c>
      <c r="G133" s="6">
        <v>600</v>
      </c>
      <c r="H133" s="6">
        <v>600</v>
      </c>
      <c r="I133" s="8">
        <f t="shared" si="8"/>
        <v>7.6923076923076925</v>
      </c>
      <c r="J133" s="6" t="s">
        <v>45</v>
      </c>
      <c r="K133" s="6" t="s">
        <v>9</v>
      </c>
      <c r="L133" s="6" t="s">
        <v>26</v>
      </c>
      <c r="M133" s="6" t="s">
        <v>172</v>
      </c>
      <c r="O133" s="16"/>
    </row>
    <row r="134" spans="1:15" ht="15" thickBot="1">
      <c r="A134" s="39"/>
      <c r="B134" s="5" t="s">
        <v>146</v>
      </c>
      <c r="C134" s="5" t="s">
        <v>92</v>
      </c>
      <c r="D134" s="6" t="s">
        <v>168</v>
      </c>
      <c r="E134" s="6">
        <v>2500</v>
      </c>
      <c r="F134" s="6">
        <v>2500</v>
      </c>
      <c r="G134" s="6"/>
      <c r="H134" s="6"/>
      <c r="I134" s="8">
        <f t="shared" si="8"/>
        <v>0</v>
      </c>
      <c r="J134" s="6" t="s">
        <v>45</v>
      </c>
      <c r="K134" s="6" t="s">
        <v>9</v>
      </c>
      <c r="L134" s="6" t="s">
        <v>26</v>
      </c>
      <c r="M134" s="6"/>
    </row>
    <row r="135" spans="1:15" ht="15" thickBot="1">
      <c r="A135" s="39"/>
      <c r="B135" s="5"/>
      <c r="C135" s="5"/>
      <c r="D135" s="6" t="s">
        <v>11</v>
      </c>
      <c r="E135" s="6">
        <v>2000</v>
      </c>
      <c r="F135" s="6">
        <v>2000</v>
      </c>
      <c r="G135" s="6">
        <v>2000</v>
      </c>
      <c r="H135" s="6">
        <v>2000</v>
      </c>
      <c r="I135" s="8">
        <f t="shared" si="8"/>
        <v>0</v>
      </c>
      <c r="J135" s="6" t="s">
        <v>45</v>
      </c>
      <c r="K135" s="6" t="s">
        <v>9</v>
      </c>
      <c r="L135" s="6" t="s">
        <v>26</v>
      </c>
      <c r="M135" s="6"/>
    </row>
    <row r="136" spans="1:15" ht="15" thickBot="1">
      <c r="A136" s="39"/>
      <c r="B136" s="5" t="s">
        <v>147</v>
      </c>
      <c r="C136" s="5" t="s">
        <v>138</v>
      </c>
      <c r="D136" s="6" t="s">
        <v>168</v>
      </c>
      <c r="E136" s="6">
        <v>1200</v>
      </c>
      <c r="F136" s="6">
        <v>1000</v>
      </c>
      <c r="G136" s="6"/>
      <c r="H136" s="6"/>
      <c r="I136" s="8">
        <f t="shared" si="8"/>
        <v>16.666666666666664</v>
      </c>
      <c r="J136" s="6" t="s">
        <v>45</v>
      </c>
      <c r="K136" s="6" t="s">
        <v>9</v>
      </c>
      <c r="L136" s="6" t="s">
        <v>26</v>
      </c>
      <c r="M136" s="6" t="s">
        <v>172</v>
      </c>
    </row>
    <row r="137" spans="1:15" ht="15" thickBot="1">
      <c r="A137" s="39"/>
      <c r="B137" s="5"/>
      <c r="C137" s="5"/>
      <c r="D137" s="6" t="s">
        <v>11</v>
      </c>
      <c r="E137" s="6">
        <v>800</v>
      </c>
      <c r="F137" s="6">
        <v>800</v>
      </c>
      <c r="G137" s="6">
        <v>800</v>
      </c>
      <c r="H137" s="6">
        <v>800</v>
      </c>
      <c r="I137" s="8">
        <f t="shared" si="8"/>
        <v>0</v>
      </c>
      <c r="J137" s="6" t="s">
        <v>45</v>
      </c>
      <c r="K137" s="6" t="s">
        <v>9</v>
      </c>
      <c r="L137" s="6" t="s">
        <v>26</v>
      </c>
      <c r="M137" s="6"/>
    </row>
    <row r="138" spans="1:15" ht="15" thickBot="1">
      <c r="A138" s="39"/>
      <c r="B138" s="10" t="s">
        <v>186</v>
      </c>
      <c r="C138" s="11"/>
      <c r="D138" s="12"/>
      <c r="E138" s="12"/>
      <c r="F138" s="12"/>
      <c r="G138" s="12"/>
      <c r="H138" s="12"/>
      <c r="I138" s="15">
        <f>AVERAGE(I112,I114,I116,I118,I120,I122,I124,I126,I128,I130,I132,I134,I136)</f>
        <v>4.0705128205128203</v>
      </c>
      <c r="J138" s="12"/>
      <c r="K138" s="12"/>
      <c r="L138" s="12"/>
      <c r="M138" s="14"/>
      <c r="O138" s="16"/>
    </row>
    <row r="139" spans="1:15" ht="15" thickBot="1">
      <c r="A139" s="39"/>
      <c r="B139" s="10" t="s">
        <v>187</v>
      </c>
      <c r="C139" s="11"/>
      <c r="D139" s="12"/>
      <c r="E139" s="12"/>
      <c r="F139" s="12"/>
      <c r="G139" s="12"/>
      <c r="H139" s="12"/>
      <c r="I139" s="15">
        <f>AVERAGE(I113,I115,I117,I119,I121,I123,I125,I127,I129,I131,I133,I135,I137)</f>
        <v>11.090800225415608</v>
      </c>
      <c r="J139" s="12"/>
      <c r="K139" s="12"/>
      <c r="L139" s="12"/>
      <c r="M139" s="14"/>
    </row>
    <row r="140" spans="1:15" ht="15" thickBot="1">
      <c r="A140" s="39"/>
      <c r="B140" s="28" t="s">
        <v>93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30"/>
    </row>
    <row r="141" spans="1:15" ht="15" thickBot="1">
      <c r="A141" s="39"/>
      <c r="B141" s="5" t="s">
        <v>94</v>
      </c>
      <c r="C141" s="5" t="s">
        <v>95</v>
      </c>
      <c r="D141" s="6" t="s">
        <v>168</v>
      </c>
      <c r="E141" s="6">
        <v>1500</v>
      </c>
      <c r="F141" s="6">
        <v>1500</v>
      </c>
      <c r="G141" s="6"/>
      <c r="H141" s="6"/>
      <c r="I141" s="8">
        <f>((E141-F141)/E141)*100</f>
        <v>0</v>
      </c>
      <c r="J141" s="6" t="s">
        <v>45</v>
      </c>
      <c r="K141" s="6" t="s">
        <v>9</v>
      </c>
      <c r="L141" s="6" t="s">
        <v>23</v>
      </c>
      <c r="M141" s="6"/>
    </row>
    <row r="142" spans="1:15" ht="15" thickBot="1">
      <c r="A142" s="39"/>
      <c r="B142" s="5"/>
      <c r="C142" s="5"/>
      <c r="D142" s="6" t="s">
        <v>11</v>
      </c>
      <c r="E142" s="6">
        <v>1000</v>
      </c>
      <c r="F142" s="6">
        <v>1000</v>
      </c>
      <c r="G142" s="6">
        <v>1000</v>
      </c>
      <c r="H142" s="6">
        <v>1000</v>
      </c>
      <c r="I142" s="8">
        <f t="shared" ref="I142:I148" si="9">((E142-F142)/E142)*100</f>
        <v>0</v>
      </c>
      <c r="J142" s="6" t="s">
        <v>45</v>
      </c>
      <c r="K142" s="6" t="s">
        <v>9</v>
      </c>
      <c r="L142" s="6" t="s">
        <v>31</v>
      </c>
      <c r="M142" s="6"/>
    </row>
    <row r="143" spans="1:15" ht="15" thickBot="1">
      <c r="A143" s="39"/>
      <c r="B143" s="5" t="s">
        <v>96</v>
      </c>
      <c r="C143" s="5"/>
      <c r="D143" s="6" t="s">
        <v>168</v>
      </c>
      <c r="E143" s="6">
        <v>500</v>
      </c>
      <c r="F143" s="6">
        <v>500</v>
      </c>
      <c r="G143" s="6"/>
      <c r="H143" s="6"/>
      <c r="I143" s="8">
        <f t="shared" si="9"/>
        <v>0</v>
      </c>
      <c r="J143" s="6" t="s">
        <v>45</v>
      </c>
      <c r="K143" s="6" t="s">
        <v>9</v>
      </c>
      <c r="L143" s="6" t="s">
        <v>26</v>
      </c>
      <c r="M143" s="6"/>
    </row>
    <row r="144" spans="1:15" ht="15" thickBot="1">
      <c r="A144" s="39"/>
      <c r="B144" s="5"/>
      <c r="C144" s="5"/>
      <c r="D144" s="6" t="s">
        <v>11</v>
      </c>
      <c r="E144" s="6">
        <v>350</v>
      </c>
      <c r="F144" s="6">
        <v>350</v>
      </c>
      <c r="G144" s="6">
        <v>350</v>
      </c>
      <c r="H144" s="6">
        <v>350</v>
      </c>
      <c r="I144" s="8">
        <f t="shared" si="9"/>
        <v>0</v>
      </c>
      <c r="J144" s="6" t="s">
        <v>45</v>
      </c>
      <c r="K144" s="6" t="s">
        <v>9</v>
      </c>
      <c r="L144" s="6" t="s">
        <v>26</v>
      </c>
      <c r="M144" s="6"/>
    </row>
    <row r="145" spans="1:15" ht="15" thickBot="1">
      <c r="A145" s="39"/>
      <c r="B145" s="5" t="s">
        <v>97</v>
      </c>
      <c r="C145" s="5"/>
      <c r="D145" s="6" t="s">
        <v>168</v>
      </c>
      <c r="E145" s="6">
        <v>500</v>
      </c>
      <c r="F145" s="6">
        <v>500</v>
      </c>
      <c r="G145" s="6"/>
      <c r="H145" s="6"/>
      <c r="I145" s="8">
        <f t="shared" si="9"/>
        <v>0</v>
      </c>
      <c r="J145" s="6" t="s">
        <v>45</v>
      </c>
      <c r="K145" s="6" t="s">
        <v>9</v>
      </c>
      <c r="L145" s="6" t="s">
        <v>26</v>
      </c>
      <c r="M145" s="6"/>
    </row>
    <row r="146" spans="1:15" ht="15" thickBot="1">
      <c r="A146" s="39"/>
      <c r="B146" s="5"/>
      <c r="C146" s="5"/>
      <c r="D146" s="6" t="s">
        <v>11</v>
      </c>
      <c r="E146" s="6">
        <v>300</v>
      </c>
      <c r="F146" s="6">
        <v>300</v>
      </c>
      <c r="G146" s="6">
        <v>300</v>
      </c>
      <c r="H146" s="6">
        <v>300</v>
      </c>
      <c r="I146" s="8">
        <f t="shared" si="9"/>
        <v>0</v>
      </c>
      <c r="J146" s="6" t="s">
        <v>45</v>
      </c>
      <c r="K146" s="6" t="s">
        <v>9</v>
      </c>
      <c r="L146" s="6" t="s">
        <v>26</v>
      </c>
      <c r="M146" s="6"/>
    </row>
    <row r="147" spans="1:15" ht="15" thickBot="1">
      <c r="A147" s="39"/>
      <c r="B147" s="5" t="s">
        <v>130</v>
      </c>
      <c r="C147" s="5"/>
      <c r="D147" s="6" t="s">
        <v>168</v>
      </c>
      <c r="E147" s="6">
        <v>500</v>
      </c>
      <c r="F147" s="6">
        <v>500</v>
      </c>
      <c r="G147" s="6"/>
      <c r="H147" s="6"/>
      <c r="I147" s="8">
        <f t="shared" si="9"/>
        <v>0</v>
      </c>
      <c r="J147" s="6" t="s">
        <v>45</v>
      </c>
      <c r="K147" s="6" t="s">
        <v>9</v>
      </c>
      <c r="L147" s="6" t="s">
        <v>26</v>
      </c>
      <c r="M147" s="6"/>
    </row>
    <row r="148" spans="1:15" ht="15" thickBot="1">
      <c r="A148" s="39"/>
      <c r="B148" s="5"/>
      <c r="C148" s="5"/>
      <c r="D148" s="6" t="s">
        <v>11</v>
      </c>
      <c r="E148" s="6">
        <v>400</v>
      </c>
      <c r="F148" s="6">
        <v>350</v>
      </c>
      <c r="G148" s="6">
        <v>350</v>
      </c>
      <c r="H148" s="6">
        <v>350</v>
      </c>
      <c r="I148" s="8">
        <f t="shared" si="9"/>
        <v>12.5</v>
      </c>
      <c r="J148" s="6" t="s">
        <v>45</v>
      </c>
      <c r="K148" s="6" t="s">
        <v>9</v>
      </c>
      <c r="L148" s="6" t="s">
        <v>26</v>
      </c>
      <c r="M148" s="6" t="s">
        <v>195</v>
      </c>
    </row>
    <row r="149" spans="1:15" ht="15" thickBot="1">
      <c r="A149" s="39"/>
      <c r="B149" s="17" t="s">
        <v>186</v>
      </c>
      <c r="C149" s="11"/>
      <c r="D149" s="12"/>
      <c r="E149" s="12"/>
      <c r="F149" s="12"/>
      <c r="G149" s="12"/>
      <c r="H149" s="12"/>
      <c r="I149" s="15">
        <f>AVERAGE(I141,I143,I145,I147)</f>
        <v>0</v>
      </c>
      <c r="J149" s="12"/>
      <c r="K149" s="12"/>
      <c r="L149" s="12"/>
      <c r="M149" s="14"/>
      <c r="O149" s="16"/>
    </row>
    <row r="150" spans="1:15" ht="15" thickBot="1">
      <c r="A150" s="39"/>
      <c r="B150" s="10" t="s">
        <v>187</v>
      </c>
      <c r="C150" s="11"/>
      <c r="D150" s="12"/>
      <c r="E150" s="12"/>
      <c r="F150" s="12"/>
      <c r="G150" s="12"/>
      <c r="H150" s="12"/>
      <c r="I150" s="15">
        <f>AVERAGE(I142,I144,I146,I148)</f>
        <v>3.125</v>
      </c>
      <c r="J150" s="12"/>
      <c r="K150" s="12"/>
      <c r="L150" s="12"/>
      <c r="M150" s="14"/>
    </row>
    <row r="151" spans="1:15" ht="15" thickBot="1">
      <c r="A151" s="18"/>
      <c r="B151" s="19" t="s">
        <v>203</v>
      </c>
      <c r="C151" s="20"/>
      <c r="D151" s="21"/>
      <c r="E151" s="21"/>
      <c r="F151" s="21"/>
      <c r="G151" s="21"/>
      <c r="H151" s="21"/>
      <c r="I151" s="22">
        <f>AVERAGE(I149,I138,I109,I98,I71,I58)</f>
        <v>4.3404558404558395</v>
      </c>
      <c r="J151" s="21"/>
      <c r="K151" s="21"/>
      <c r="L151" s="21"/>
      <c r="M151" s="23"/>
    </row>
    <row r="152" spans="1:15" ht="15" thickBot="1">
      <c r="A152" s="18"/>
      <c r="B152" s="19" t="s">
        <v>204</v>
      </c>
      <c r="C152" s="20"/>
      <c r="D152" s="21"/>
      <c r="E152" s="21"/>
      <c r="F152" s="21"/>
      <c r="G152" s="21"/>
      <c r="H152" s="21"/>
      <c r="I152" s="22">
        <f>AVERAGE(I150,I139,I110,I99,I72,I59)</f>
        <v>8.7118926301618611</v>
      </c>
      <c r="J152" s="21"/>
      <c r="K152" s="21"/>
      <c r="L152" s="21"/>
      <c r="M152" s="23"/>
    </row>
    <row r="153" spans="1:15" ht="15" thickBot="1">
      <c r="A153" s="33" t="s">
        <v>201</v>
      </c>
      <c r="B153" s="28" t="s">
        <v>131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30"/>
    </row>
    <row r="154" spans="1:15" ht="15" thickBot="1">
      <c r="A154" s="33"/>
      <c r="B154" s="5" t="s">
        <v>99</v>
      </c>
      <c r="C154" s="5" t="s">
        <v>100</v>
      </c>
      <c r="D154" s="6" t="s">
        <v>168</v>
      </c>
      <c r="E154" s="6">
        <v>200</v>
      </c>
      <c r="F154" s="6">
        <v>200</v>
      </c>
      <c r="G154" s="6"/>
      <c r="H154" s="6"/>
      <c r="I154" s="8">
        <f>((E154-F154)/E154)*100</f>
        <v>0</v>
      </c>
      <c r="J154" s="6" t="s">
        <v>45</v>
      </c>
      <c r="K154" s="6" t="s">
        <v>20</v>
      </c>
      <c r="L154" s="6" t="s">
        <v>55</v>
      </c>
      <c r="M154" s="6"/>
    </row>
    <row r="155" spans="1:15" ht="15" thickBot="1">
      <c r="A155" s="33"/>
      <c r="B155" s="5"/>
      <c r="C155" s="5"/>
      <c r="D155" s="6" t="s">
        <v>11</v>
      </c>
      <c r="E155" s="6">
        <v>85</v>
      </c>
      <c r="F155" s="6">
        <v>85</v>
      </c>
      <c r="G155" s="6">
        <v>85</v>
      </c>
      <c r="H155" s="6">
        <v>85</v>
      </c>
      <c r="I155" s="8">
        <f t="shared" ref="I155:I163" si="10">((E155-F155)/E155)*100</f>
        <v>0</v>
      </c>
      <c r="J155" s="6" t="s">
        <v>45</v>
      </c>
      <c r="K155" s="6" t="s">
        <v>28</v>
      </c>
      <c r="L155" s="6" t="s">
        <v>27</v>
      </c>
      <c r="M155" s="6"/>
    </row>
    <row r="156" spans="1:15" ht="15" thickBot="1">
      <c r="A156" s="33"/>
      <c r="B156" s="5" t="s">
        <v>80</v>
      </c>
      <c r="C156" s="5" t="s">
        <v>95</v>
      </c>
      <c r="D156" s="6" t="s">
        <v>168</v>
      </c>
      <c r="E156" s="6">
        <v>400</v>
      </c>
      <c r="F156" s="6">
        <v>400</v>
      </c>
      <c r="G156" s="6"/>
      <c r="H156" s="6"/>
      <c r="I156" s="8">
        <f t="shared" si="10"/>
        <v>0</v>
      </c>
      <c r="J156" s="6" t="s">
        <v>45</v>
      </c>
      <c r="K156" s="6" t="s">
        <v>20</v>
      </c>
      <c r="L156" s="6" t="s">
        <v>55</v>
      </c>
      <c r="M156" s="6"/>
    </row>
    <row r="157" spans="1:15" ht="15" thickBot="1">
      <c r="A157" s="33"/>
      <c r="B157" s="5"/>
      <c r="C157" s="5"/>
      <c r="D157" s="6" t="s">
        <v>11</v>
      </c>
      <c r="E157" s="6">
        <v>250</v>
      </c>
      <c r="F157" s="6">
        <v>250</v>
      </c>
      <c r="G157" s="6">
        <v>250</v>
      </c>
      <c r="H157" s="6">
        <v>250</v>
      </c>
      <c r="I157" s="8">
        <f t="shared" si="10"/>
        <v>0</v>
      </c>
      <c r="J157" s="6" t="s">
        <v>45</v>
      </c>
      <c r="K157" s="6" t="s">
        <v>20</v>
      </c>
      <c r="L157" s="6" t="s">
        <v>26</v>
      </c>
      <c r="M157" s="6"/>
    </row>
    <row r="158" spans="1:15" ht="15" thickBot="1">
      <c r="A158" s="33"/>
      <c r="B158" s="5" t="s">
        <v>78</v>
      </c>
      <c r="C158" s="5" t="s">
        <v>101</v>
      </c>
      <c r="D158" s="6" t="s">
        <v>168</v>
      </c>
      <c r="E158" s="6">
        <v>150</v>
      </c>
      <c r="F158" s="6">
        <v>150</v>
      </c>
      <c r="G158" s="6"/>
      <c r="H158" s="6"/>
      <c r="I158" s="8">
        <f t="shared" si="10"/>
        <v>0</v>
      </c>
      <c r="J158" s="6" t="s">
        <v>45</v>
      </c>
      <c r="K158" s="6" t="s">
        <v>20</v>
      </c>
      <c r="L158" s="6" t="s">
        <v>26</v>
      </c>
      <c r="M158" s="6"/>
    </row>
    <row r="159" spans="1:15" ht="15" thickBot="1">
      <c r="A159" s="33"/>
      <c r="B159" s="5"/>
      <c r="C159" s="5"/>
      <c r="D159" s="6" t="s">
        <v>11</v>
      </c>
      <c r="E159" s="6">
        <v>75</v>
      </c>
      <c r="F159" s="6">
        <v>75</v>
      </c>
      <c r="G159" s="6">
        <v>75</v>
      </c>
      <c r="H159" s="6">
        <v>75</v>
      </c>
      <c r="I159" s="8">
        <f t="shared" si="10"/>
        <v>0</v>
      </c>
      <c r="J159" s="6" t="s">
        <v>45</v>
      </c>
      <c r="K159" s="6" t="s">
        <v>20</v>
      </c>
      <c r="L159" s="6" t="s">
        <v>26</v>
      </c>
      <c r="M159" s="6"/>
    </row>
    <row r="160" spans="1:15" ht="15" thickBot="1">
      <c r="A160" s="33"/>
      <c r="B160" s="5" t="s">
        <v>102</v>
      </c>
      <c r="C160" s="5" t="s">
        <v>103</v>
      </c>
      <c r="D160" s="6" t="s">
        <v>168</v>
      </c>
      <c r="E160" s="6">
        <v>200</v>
      </c>
      <c r="F160" s="6">
        <v>150</v>
      </c>
      <c r="G160" s="6"/>
      <c r="H160" s="6"/>
      <c r="I160" s="8">
        <f t="shared" si="10"/>
        <v>25</v>
      </c>
      <c r="J160" s="6" t="s">
        <v>45</v>
      </c>
      <c r="K160" s="6" t="s">
        <v>20</v>
      </c>
      <c r="L160" s="6" t="s">
        <v>26</v>
      </c>
      <c r="M160" s="6" t="s">
        <v>174</v>
      </c>
    </row>
    <row r="161" spans="1:15" ht="15" thickBot="1">
      <c r="A161" s="33"/>
      <c r="B161" s="5"/>
      <c r="C161" s="5"/>
      <c r="D161" s="6" t="s">
        <v>11</v>
      </c>
      <c r="E161" s="6">
        <v>125</v>
      </c>
      <c r="F161" s="6">
        <v>100</v>
      </c>
      <c r="G161" s="6">
        <v>100</v>
      </c>
      <c r="H161" s="6">
        <v>100</v>
      </c>
      <c r="I161" s="8">
        <f t="shared" si="10"/>
        <v>20</v>
      </c>
      <c r="J161" s="6" t="s">
        <v>45</v>
      </c>
      <c r="K161" s="6" t="s">
        <v>20</v>
      </c>
      <c r="L161" s="6" t="s">
        <v>26</v>
      </c>
      <c r="M161" s="6" t="s">
        <v>196</v>
      </c>
    </row>
    <row r="162" spans="1:15" ht="15" thickBot="1">
      <c r="A162" s="33"/>
      <c r="B162" s="5" t="s">
        <v>104</v>
      </c>
      <c r="C162" s="5" t="s">
        <v>101</v>
      </c>
      <c r="D162" s="6" t="s">
        <v>168</v>
      </c>
      <c r="E162" s="6">
        <v>300</v>
      </c>
      <c r="F162" s="6">
        <v>250</v>
      </c>
      <c r="G162" s="6"/>
      <c r="H162" s="6"/>
      <c r="I162" s="8">
        <f t="shared" si="10"/>
        <v>16.666666666666664</v>
      </c>
      <c r="J162" s="6" t="s">
        <v>45</v>
      </c>
      <c r="K162" s="6" t="s">
        <v>20</v>
      </c>
      <c r="L162" s="6" t="s">
        <v>23</v>
      </c>
      <c r="M162" s="6" t="s">
        <v>174</v>
      </c>
    </row>
    <row r="163" spans="1:15" ht="15" thickBot="1">
      <c r="A163" s="33"/>
      <c r="B163" s="5"/>
      <c r="C163" s="5"/>
      <c r="D163" s="6" t="s">
        <v>11</v>
      </c>
      <c r="E163" s="6">
        <v>200</v>
      </c>
      <c r="F163" s="6">
        <v>200</v>
      </c>
      <c r="G163" s="6">
        <v>200</v>
      </c>
      <c r="H163" s="6">
        <v>200</v>
      </c>
      <c r="I163" s="8">
        <f t="shared" si="10"/>
        <v>0</v>
      </c>
      <c r="J163" s="6" t="s">
        <v>45</v>
      </c>
      <c r="K163" s="6" t="s">
        <v>20</v>
      </c>
      <c r="L163" s="6" t="s">
        <v>23</v>
      </c>
      <c r="M163" s="6"/>
    </row>
    <row r="164" spans="1:15" ht="15" thickBot="1">
      <c r="A164" s="33"/>
      <c r="B164" s="10" t="s">
        <v>186</v>
      </c>
      <c r="C164" s="11"/>
      <c r="D164" s="12"/>
      <c r="E164" s="12"/>
      <c r="F164" s="12"/>
      <c r="G164" s="12"/>
      <c r="H164" s="12"/>
      <c r="I164" s="15">
        <f>AVERAGE(I154,I156,I158,I160,I162)</f>
        <v>8.3333333333333321</v>
      </c>
      <c r="J164" s="12"/>
      <c r="K164" s="12"/>
      <c r="L164" s="12"/>
      <c r="M164" s="14"/>
      <c r="O164" s="16"/>
    </row>
    <row r="165" spans="1:15" ht="15" thickBot="1">
      <c r="A165" s="33"/>
      <c r="B165" s="10" t="s">
        <v>187</v>
      </c>
      <c r="C165" s="11"/>
      <c r="D165" s="12"/>
      <c r="E165" s="12"/>
      <c r="F165" s="12"/>
      <c r="G165" s="12"/>
      <c r="H165" s="12"/>
      <c r="I165" s="15">
        <f>AVERAGE(I155+I157,I159,I161,I163)</f>
        <v>5</v>
      </c>
      <c r="J165" s="12"/>
      <c r="K165" s="12"/>
      <c r="L165" s="12"/>
      <c r="M165" s="14"/>
    </row>
    <row r="166" spans="1:15" ht="15" thickBot="1">
      <c r="A166" s="33"/>
      <c r="B166" s="28" t="s">
        <v>98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30"/>
    </row>
    <row r="167" spans="1:15" ht="15" thickBot="1">
      <c r="A167" s="33"/>
      <c r="B167" s="5" t="s">
        <v>105</v>
      </c>
      <c r="C167" s="5" t="s">
        <v>57</v>
      </c>
      <c r="D167" s="6" t="s">
        <v>168</v>
      </c>
      <c r="E167" s="6">
        <v>200</v>
      </c>
      <c r="F167" s="6">
        <v>175</v>
      </c>
      <c r="G167" s="6"/>
      <c r="H167" s="6"/>
      <c r="I167" s="8">
        <f>((E167-F167)/E167)*100</f>
        <v>12.5</v>
      </c>
      <c r="J167" s="6" t="s">
        <v>45</v>
      </c>
      <c r="K167" s="6" t="s">
        <v>20</v>
      </c>
      <c r="L167" s="6" t="s">
        <v>23</v>
      </c>
      <c r="M167" s="6" t="s">
        <v>106</v>
      </c>
    </row>
    <row r="168" spans="1:15" ht="15" thickBot="1">
      <c r="A168" s="33"/>
      <c r="B168" s="5"/>
      <c r="C168" s="5"/>
      <c r="D168" s="6" t="s">
        <v>11</v>
      </c>
      <c r="E168" s="6">
        <v>100</v>
      </c>
      <c r="F168" s="6">
        <v>100</v>
      </c>
      <c r="G168" s="6">
        <v>100</v>
      </c>
      <c r="H168" s="6">
        <v>100</v>
      </c>
      <c r="I168" s="8">
        <f t="shared" ref="I168:I178" si="11">((E168-F168)/E168)*100</f>
        <v>0</v>
      </c>
      <c r="J168" s="6" t="s">
        <v>45</v>
      </c>
      <c r="K168" s="6" t="s">
        <v>28</v>
      </c>
      <c r="L168" s="6" t="s">
        <v>43</v>
      </c>
      <c r="M168" s="6"/>
    </row>
    <row r="169" spans="1:15" ht="15" thickBot="1">
      <c r="A169" s="33"/>
      <c r="B169" s="5" t="s">
        <v>107</v>
      </c>
      <c r="C169" s="5" t="s">
        <v>57</v>
      </c>
      <c r="D169" s="6" t="s">
        <v>168</v>
      </c>
      <c r="E169" s="6">
        <v>200</v>
      </c>
      <c r="F169" s="6">
        <v>150</v>
      </c>
      <c r="G169" s="6"/>
      <c r="H169" s="6"/>
      <c r="I169" s="8">
        <f t="shared" si="11"/>
        <v>25</v>
      </c>
      <c r="J169" s="6" t="s">
        <v>45</v>
      </c>
      <c r="K169" s="6" t="s">
        <v>20</v>
      </c>
      <c r="L169" s="6" t="s">
        <v>108</v>
      </c>
      <c r="M169" s="6" t="s">
        <v>197</v>
      </c>
    </row>
    <row r="170" spans="1:15" ht="15" thickBot="1">
      <c r="A170" s="33"/>
      <c r="B170" s="5"/>
      <c r="C170" s="5"/>
      <c r="D170" s="6" t="s">
        <v>11</v>
      </c>
      <c r="E170" s="6">
        <v>100</v>
      </c>
      <c r="F170" s="6">
        <v>100</v>
      </c>
      <c r="G170" s="6">
        <v>75</v>
      </c>
      <c r="H170" s="6">
        <v>75</v>
      </c>
      <c r="I170" s="8">
        <f>((E170-H170)/E170)*100</f>
        <v>25</v>
      </c>
      <c r="J170" s="6" t="s">
        <v>45</v>
      </c>
      <c r="K170" s="6" t="s">
        <v>20</v>
      </c>
      <c r="L170" s="6" t="s">
        <v>55</v>
      </c>
      <c r="M170" s="6" t="s">
        <v>183</v>
      </c>
    </row>
    <row r="171" spans="1:15" ht="15" thickBot="1">
      <c r="A171" s="33"/>
      <c r="B171" s="5" t="s">
        <v>90</v>
      </c>
      <c r="C171" s="5" t="s">
        <v>109</v>
      </c>
      <c r="D171" s="6" t="s">
        <v>168</v>
      </c>
      <c r="E171" s="6">
        <v>250</v>
      </c>
      <c r="F171" s="6">
        <v>250</v>
      </c>
      <c r="G171" s="6"/>
      <c r="H171" s="6"/>
      <c r="I171" s="8">
        <f t="shared" si="11"/>
        <v>0</v>
      </c>
      <c r="J171" s="6" t="s">
        <v>45</v>
      </c>
      <c r="K171" s="6" t="s">
        <v>20</v>
      </c>
      <c r="L171" s="6" t="s">
        <v>55</v>
      </c>
      <c r="M171" s="6" t="s">
        <v>110</v>
      </c>
    </row>
    <row r="172" spans="1:15" ht="15" thickBot="1">
      <c r="A172" s="33"/>
      <c r="B172" s="5"/>
      <c r="C172" s="5"/>
      <c r="D172" s="6" t="s">
        <v>11</v>
      </c>
      <c r="E172" s="6">
        <v>150</v>
      </c>
      <c r="F172" s="6">
        <v>150</v>
      </c>
      <c r="G172" s="6">
        <v>150</v>
      </c>
      <c r="H172" s="6">
        <v>150</v>
      </c>
      <c r="I172" s="8">
        <f t="shared" si="11"/>
        <v>0</v>
      </c>
      <c r="J172" s="6" t="s">
        <v>45</v>
      </c>
      <c r="K172" s="6" t="s">
        <v>20</v>
      </c>
      <c r="L172" s="6" t="s">
        <v>17</v>
      </c>
      <c r="M172" s="6"/>
    </row>
    <row r="173" spans="1:15" ht="15" thickBot="1">
      <c r="A173" s="33"/>
      <c r="B173" s="5" t="s">
        <v>89</v>
      </c>
      <c r="C173" s="5" t="s">
        <v>111</v>
      </c>
      <c r="D173" s="6" t="s">
        <v>168</v>
      </c>
      <c r="E173" s="6">
        <v>300</v>
      </c>
      <c r="F173" s="6">
        <v>300</v>
      </c>
      <c r="G173" s="6"/>
      <c r="H173" s="6"/>
      <c r="I173" s="8">
        <f t="shared" si="11"/>
        <v>0</v>
      </c>
      <c r="J173" s="6" t="s">
        <v>45</v>
      </c>
      <c r="K173" s="6" t="s">
        <v>20</v>
      </c>
      <c r="L173" s="6" t="s">
        <v>26</v>
      </c>
      <c r="M173" s="6"/>
    </row>
    <row r="174" spans="1:15" ht="15" thickBot="1">
      <c r="A174" s="33"/>
      <c r="B174" s="5"/>
      <c r="C174" s="5"/>
      <c r="D174" s="6" t="s">
        <v>11</v>
      </c>
      <c r="E174" s="6">
        <v>200</v>
      </c>
      <c r="F174" s="6">
        <v>150</v>
      </c>
      <c r="G174" s="6">
        <v>150</v>
      </c>
      <c r="H174" s="6">
        <v>150</v>
      </c>
      <c r="I174" s="8">
        <f>((E174-F174)/E174)*100</f>
        <v>25</v>
      </c>
      <c r="J174" s="6" t="s">
        <v>45</v>
      </c>
      <c r="K174" s="6" t="s">
        <v>20</v>
      </c>
      <c r="L174" s="6" t="s">
        <v>26</v>
      </c>
      <c r="M174" s="6" t="s">
        <v>185</v>
      </c>
    </row>
    <row r="175" spans="1:15" ht="15" thickBot="1">
      <c r="A175" s="33"/>
      <c r="B175" s="5" t="s">
        <v>112</v>
      </c>
      <c r="C175" s="5" t="s">
        <v>113</v>
      </c>
      <c r="D175" s="6" t="s">
        <v>168</v>
      </c>
      <c r="E175" s="6">
        <v>300</v>
      </c>
      <c r="F175" s="6">
        <v>300</v>
      </c>
      <c r="G175" s="6"/>
      <c r="H175" s="6"/>
      <c r="I175" s="8">
        <f t="shared" si="11"/>
        <v>0</v>
      </c>
      <c r="J175" s="6" t="s">
        <v>45</v>
      </c>
      <c r="K175" s="6" t="s">
        <v>20</v>
      </c>
      <c r="L175" s="6" t="s">
        <v>26</v>
      </c>
      <c r="M175" s="6"/>
    </row>
    <row r="176" spans="1:15" ht="15" thickBot="1">
      <c r="A176" s="33"/>
      <c r="B176" s="5"/>
      <c r="C176" s="5"/>
      <c r="D176" s="6" t="s">
        <v>11</v>
      </c>
      <c r="E176" s="6">
        <v>200</v>
      </c>
      <c r="F176" s="6">
        <v>200</v>
      </c>
      <c r="G176" s="6">
        <v>200</v>
      </c>
      <c r="H176" s="6">
        <v>200</v>
      </c>
      <c r="I176" s="8">
        <f t="shared" si="11"/>
        <v>0</v>
      </c>
      <c r="J176" s="6" t="s">
        <v>45</v>
      </c>
      <c r="K176" s="6" t="s">
        <v>20</v>
      </c>
      <c r="L176" s="6" t="s">
        <v>26</v>
      </c>
      <c r="M176" s="6"/>
    </row>
    <row r="177" spans="1:15" ht="15" thickBot="1">
      <c r="A177" s="33"/>
      <c r="B177" s="5" t="s">
        <v>99</v>
      </c>
      <c r="C177" s="5" t="s">
        <v>114</v>
      </c>
      <c r="D177" s="6" t="s">
        <v>168</v>
      </c>
      <c r="E177" s="6">
        <v>400</v>
      </c>
      <c r="F177" s="6">
        <v>400</v>
      </c>
      <c r="G177" s="6"/>
      <c r="H177" s="6"/>
      <c r="I177" s="8">
        <f t="shared" si="11"/>
        <v>0</v>
      </c>
      <c r="J177" s="6" t="s">
        <v>45</v>
      </c>
      <c r="K177" s="6" t="s">
        <v>20</v>
      </c>
      <c r="L177" s="6" t="s">
        <v>26</v>
      </c>
      <c r="M177" s="6"/>
    </row>
    <row r="178" spans="1:15" ht="15" thickBot="1">
      <c r="A178" s="33"/>
      <c r="B178" s="5"/>
      <c r="C178" s="5"/>
      <c r="D178" s="6" t="s">
        <v>11</v>
      </c>
      <c r="E178" s="6">
        <v>300</v>
      </c>
      <c r="F178" s="6">
        <v>300</v>
      </c>
      <c r="G178" s="6">
        <v>300</v>
      </c>
      <c r="H178" s="6">
        <v>300</v>
      </c>
      <c r="I178" s="8">
        <f t="shared" si="11"/>
        <v>0</v>
      </c>
      <c r="J178" s="6" t="s">
        <v>45</v>
      </c>
      <c r="K178" s="6" t="s">
        <v>20</v>
      </c>
      <c r="L178" s="6" t="s">
        <v>31</v>
      </c>
      <c r="M178" s="6"/>
    </row>
    <row r="179" spans="1:15" ht="15" thickBot="1">
      <c r="A179" s="33"/>
      <c r="B179" s="10" t="s">
        <v>186</v>
      </c>
      <c r="C179" s="11"/>
      <c r="D179" s="12"/>
      <c r="E179" s="12"/>
      <c r="F179" s="12"/>
      <c r="G179" s="12"/>
      <c r="H179" s="12"/>
      <c r="I179" s="15">
        <f>AVERAGE(I167,I169,I171,I173,I175,I177)</f>
        <v>6.25</v>
      </c>
      <c r="J179" s="12"/>
      <c r="K179" s="12"/>
      <c r="L179" s="12"/>
      <c r="M179" s="14"/>
      <c r="O179" s="16"/>
    </row>
    <row r="180" spans="1:15" ht="15" thickBot="1">
      <c r="A180" s="33"/>
      <c r="B180" s="10" t="s">
        <v>187</v>
      </c>
      <c r="C180" s="11"/>
      <c r="D180" s="12"/>
      <c r="E180" s="12"/>
      <c r="F180" s="12"/>
      <c r="G180" s="12"/>
      <c r="H180" s="12"/>
      <c r="I180" s="15">
        <f>AVERAGE(I168,I170+I172,I174,I176,I178)</f>
        <v>10</v>
      </c>
      <c r="J180" s="12"/>
      <c r="K180" s="12"/>
      <c r="L180" s="12"/>
      <c r="M180" s="14"/>
    </row>
    <row r="181" spans="1:15" ht="15" thickBot="1">
      <c r="A181" s="33"/>
      <c r="B181" s="28" t="s">
        <v>116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30"/>
    </row>
    <row r="182" spans="1:15" ht="15" thickBot="1">
      <c r="A182" s="33"/>
      <c r="B182" s="5" t="s">
        <v>32</v>
      </c>
      <c r="C182" s="5" t="s">
        <v>117</v>
      </c>
      <c r="D182" s="6" t="s">
        <v>168</v>
      </c>
      <c r="E182" s="6">
        <v>600</v>
      </c>
      <c r="F182" s="6">
        <v>600</v>
      </c>
      <c r="G182" s="6"/>
      <c r="H182" s="6"/>
      <c r="I182" s="8">
        <f>((E182-F182)/E182)*100</f>
        <v>0</v>
      </c>
      <c r="J182" s="6" t="s">
        <v>45</v>
      </c>
      <c r="K182" s="6" t="s">
        <v>20</v>
      </c>
      <c r="L182" s="6" t="s">
        <v>59</v>
      </c>
      <c r="M182" s="6"/>
    </row>
    <row r="183" spans="1:15" ht="15" thickBot="1">
      <c r="A183" s="33"/>
      <c r="B183" s="5"/>
      <c r="C183" s="5"/>
      <c r="D183" s="6" t="s">
        <v>11</v>
      </c>
      <c r="E183" s="6">
        <v>500</v>
      </c>
      <c r="F183" s="6">
        <v>500</v>
      </c>
      <c r="G183" s="6">
        <v>500</v>
      </c>
      <c r="H183" s="6">
        <v>500</v>
      </c>
      <c r="I183" s="8">
        <f t="shared" ref="I183:I205" si="12">((E183-F183)/E183)*100</f>
        <v>0</v>
      </c>
      <c r="J183" s="6" t="s">
        <v>45</v>
      </c>
      <c r="K183" s="6" t="s">
        <v>82</v>
      </c>
      <c r="L183" s="6" t="s">
        <v>118</v>
      </c>
      <c r="M183" s="6"/>
    </row>
    <row r="184" spans="1:15" ht="15" thickBot="1">
      <c r="A184" s="33"/>
      <c r="B184" s="5" t="s">
        <v>137</v>
      </c>
      <c r="C184" s="5" t="s">
        <v>35</v>
      </c>
      <c r="D184" s="6" t="s">
        <v>168</v>
      </c>
      <c r="E184" s="6">
        <v>700</v>
      </c>
      <c r="F184" s="6">
        <v>700</v>
      </c>
      <c r="G184" s="6"/>
      <c r="H184" s="6"/>
      <c r="I184" s="8">
        <f t="shared" si="12"/>
        <v>0</v>
      </c>
      <c r="J184" s="6" t="s">
        <v>45</v>
      </c>
      <c r="K184" s="6" t="s">
        <v>20</v>
      </c>
      <c r="L184" s="6" t="s">
        <v>17</v>
      </c>
      <c r="M184" s="6"/>
    </row>
    <row r="185" spans="1:15" ht="15" thickBot="1">
      <c r="A185" s="33"/>
      <c r="B185" s="5"/>
      <c r="C185" s="5"/>
      <c r="D185" s="6" t="s">
        <v>11</v>
      </c>
      <c r="E185" s="6">
        <v>300</v>
      </c>
      <c r="F185" s="6">
        <v>300</v>
      </c>
      <c r="G185" s="6">
        <v>300</v>
      </c>
      <c r="H185" s="6">
        <v>300</v>
      </c>
      <c r="I185" s="8">
        <f t="shared" si="12"/>
        <v>0</v>
      </c>
      <c r="J185" s="6" t="s">
        <v>45</v>
      </c>
      <c r="K185" s="6" t="s">
        <v>28</v>
      </c>
      <c r="L185" s="6" t="s">
        <v>27</v>
      </c>
      <c r="M185" s="6"/>
    </row>
    <row r="186" spans="1:15" ht="15" thickBot="1">
      <c r="A186" s="33"/>
      <c r="B186" s="5" t="s">
        <v>49</v>
      </c>
      <c r="C186" s="5" t="s">
        <v>119</v>
      </c>
      <c r="D186" s="6" t="s">
        <v>168</v>
      </c>
      <c r="E186" s="6">
        <v>250</v>
      </c>
      <c r="F186" s="6">
        <v>250</v>
      </c>
      <c r="G186" s="6"/>
      <c r="H186" s="6"/>
      <c r="I186" s="8">
        <f t="shared" si="12"/>
        <v>0</v>
      </c>
      <c r="J186" s="6" t="s">
        <v>45</v>
      </c>
      <c r="K186" s="6" t="s">
        <v>20</v>
      </c>
      <c r="L186" s="6" t="s">
        <v>23</v>
      </c>
      <c r="M186" s="6"/>
    </row>
    <row r="187" spans="1:15" ht="15" thickBot="1">
      <c r="A187" s="33"/>
      <c r="B187" s="5"/>
      <c r="C187" s="5"/>
      <c r="D187" s="6" t="s">
        <v>11</v>
      </c>
      <c r="E187" s="6">
        <v>150</v>
      </c>
      <c r="F187" s="6">
        <v>150</v>
      </c>
      <c r="G187" s="6">
        <v>150</v>
      </c>
      <c r="H187" s="6">
        <v>150</v>
      </c>
      <c r="I187" s="8">
        <f t="shared" si="12"/>
        <v>0</v>
      </c>
      <c r="J187" s="6" t="s">
        <v>45</v>
      </c>
      <c r="K187" s="6" t="s">
        <v>28</v>
      </c>
      <c r="L187" s="6" t="s">
        <v>27</v>
      </c>
      <c r="M187" s="6"/>
    </row>
    <row r="188" spans="1:15" ht="15" thickBot="1">
      <c r="A188" s="33"/>
      <c r="B188" s="5" t="s">
        <v>120</v>
      </c>
      <c r="C188" s="5" t="s">
        <v>121</v>
      </c>
      <c r="D188" s="6" t="s">
        <v>168</v>
      </c>
      <c r="E188" s="6">
        <v>400</v>
      </c>
      <c r="F188" s="6">
        <v>400</v>
      </c>
      <c r="G188" s="6"/>
      <c r="H188" s="6"/>
      <c r="I188" s="8">
        <f t="shared" si="12"/>
        <v>0</v>
      </c>
      <c r="J188" s="6" t="s">
        <v>45</v>
      </c>
      <c r="K188" s="6" t="s">
        <v>20</v>
      </c>
      <c r="L188" s="6" t="s">
        <v>26</v>
      </c>
      <c r="M188" s="6"/>
    </row>
    <row r="189" spans="1:15" ht="15" thickBot="1">
      <c r="A189" s="33"/>
      <c r="B189" s="5"/>
      <c r="C189" s="5"/>
      <c r="D189" s="6" t="s">
        <v>11</v>
      </c>
      <c r="E189" s="6">
        <v>300</v>
      </c>
      <c r="F189" s="6">
        <v>200</v>
      </c>
      <c r="G189" s="6">
        <v>200</v>
      </c>
      <c r="H189" s="6">
        <v>200</v>
      </c>
      <c r="I189" s="8">
        <f t="shared" si="12"/>
        <v>33.333333333333329</v>
      </c>
      <c r="J189" s="6" t="s">
        <v>45</v>
      </c>
      <c r="K189" s="6" t="s">
        <v>20</v>
      </c>
      <c r="L189" s="6" t="s">
        <v>26</v>
      </c>
      <c r="M189" s="6" t="s">
        <v>185</v>
      </c>
    </row>
    <row r="190" spans="1:15" ht="15" thickBot="1">
      <c r="A190" s="33"/>
      <c r="B190" s="5" t="s">
        <v>115</v>
      </c>
      <c r="C190" s="5" t="s">
        <v>42</v>
      </c>
      <c r="D190" s="6" t="s">
        <v>168</v>
      </c>
      <c r="E190" s="6">
        <v>400</v>
      </c>
      <c r="F190" s="6">
        <v>400</v>
      </c>
      <c r="G190" s="6"/>
      <c r="H190" s="6"/>
      <c r="I190" s="8">
        <f t="shared" si="12"/>
        <v>0</v>
      </c>
      <c r="J190" s="6" t="s">
        <v>45</v>
      </c>
      <c r="K190" s="6" t="s">
        <v>20</v>
      </c>
      <c r="L190" s="6" t="s">
        <v>26</v>
      </c>
      <c r="M190" s="6"/>
    </row>
    <row r="191" spans="1:15" ht="15" thickBot="1">
      <c r="A191" s="33"/>
      <c r="B191" s="5"/>
      <c r="C191" s="5"/>
      <c r="D191" s="6" t="s">
        <v>11</v>
      </c>
      <c r="E191" s="6">
        <v>300</v>
      </c>
      <c r="F191" s="6">
        <v>300</v>
      </c>
      <c r="G191" s="6">
        <v>300</v>
      </c>
      <c r="H191" s="6">
        <v>300</v>
      </c>
      <c r="I191" s="8">
        <f t="shared" si="12"/>
        <v>0</v>
      </c>
      <c r="J191" s="6" t="s">
        <v>45</v>
      </c>
      <c r="K191" s="6" t="s">
        <v>62</v>
      </c>
      <c r="L191" s="6" t="s">
        <v>27</v>
      </c>
      <c r="M191" s="6"/>
    </row>
    <row r="192" spans="1:15" ht="15" thickBot="1">
      <c r="A192" s="33"/>
      <c r="B192" s="5" t="s">
        <v>44</v>
      </c>
      <c r="C192" s="5" t="s">
        <v>114</v>
      </c>
      <c r="D192" s="6" t="s">
        <v>168</v>
      </c>
      <c r="E192" s="6">
        <v>200</v>
      </c>
      <c r="F192" s="6">
        <v>150</v>
      </c>
      <c r="G192" s="6"/>
      <c r="H192" s="6"/>
      <c r="I192" s="8">
        <f t="shared" si="12"/>
        <v>25</v>
      </c>
      <c r="J192" s="6" t="s">
        <v>45</v>
      </c>
      <c r="K192" s="6" t="s">
        <v>20</v>
      </c>
      <c r="L192" s="6" t="s">
        <v>26</v>
      </c>
      <c r="M192" s="6" t="s">
        <v>54</v>
      </c>
    </row>
    <row r="193" spans="1:15" ht="15" thickBot="1">
      <c r="A193" s="33"/>
      <c r="B193" s="5"/>
      <c r="C193" s="5"/>
      <c r="D193" s="6" t="s">
        <v>11</v>
      </c>
      <c r="E193" s="6">
        <v>100</v>
      </c>
      <c r="F193" s="6">
        <v>100</v>
      </c>
      <c r="G193" s="6">
        <v>100</v>
      </c>
      <c r="H193" s="6">
        <v>100</v>
      </c>
      <c r="I193" s="8">
        <f t="shared" si="12"/>
        <v>0</v>
      </c>
      <c r="J193" s="6" t="s">
        <v>45</v>
      </c>
      <c r="K193" s="6" t="s">
        <v>82</v>
      </c>
      <c r="L193" s="6" t="s">
        <v>26</v>
      </c>
      <c r="M193" s="6"/>
    </row>
    <row r="194" spans="1:15" ht="15" thickBot="1">
      <c r="A194" s="33"/>
      <c r="B194" s="5" t="s">
        <v>148</v>
      </c>
      <c r="C194" s="5" t="s">
        <v>149</v>
      </c>
      <c r="D194" s="6" t="s">
        <v>168</v>
      </c>
      <c r="E194" s="6">
        <v>600</v>
      </c>
      <c r="F194" s="6">
        <v>600</v>
      </c>
      <c r="G194" s="6"/>
      <c r="H194" s="6"/>
      <c r="I194" s="8">
        <f t="shared" si="12"/>
        <v>0</v>
      </c>
      <c r="J194" s="6" t="s">
        <v>45</v>
      </c>
      <c r="K194" s="6" t="s">
        <v>154</v>
      </c>
      <c r="L194" s="6" t="s">
        <v>26</v>
      </c>
      <c r="M194" s="6"/>
    </row>
    <row r="195" spans="1:15" ht="15" thickBot="1">
      <c r="A195" s="33"/>
      <c r="B195" s="5"/>
      <c r="C195" s="5"/>
      <c r="D195" s="6" t="s">
        <v>11</v>
      </c>
      <c r="E195" s="6">
        <v>450</v>
      </c>
      <c r="F195" s="6">
        <v>400</v>
      </c>
      <c r="G195" s="6">
        <v>420</v>
      </c>
      <c r="H195" s="6">
        <v>420</v>
      </c>
      <c r="I195" s="8">
        <f>((E195-H195)/E195)*100</f>
        <v>6.666666666666667</v>
      </c>
      <c r="J195" s="6" t="s">
        <v>45</v>
      </c>
      <c r="K195" s="6" t="s">
        <v>20</v>
      </c>
      <c r="L195" s="6" t="s">
        <v>26</v>
      </c>
      <c r="M195" s="6" t="s">
        <v>185</v>
      </c>
    </row>
    <row r="196" spans="1:15" ht="15" thickBot="1">
      <c r="A196" s="33"/>
      <c r="B196" s="5" t="s">
        <v>150</v>
      </c>
      <c r="C196" s="5" t="s">
        <v>151</v>
      </c>
      <c r="D196" s="6" t="s">
        <v>168</v>
      </c>
      <c r="E196" s="6">
        <v>2000</v>
      </c>
      <c r="F196" s="6">
        <v>2000</v>
      </c>
      <c r="G196" s="6"/>
      <c r="H196" s="6"/>
      <c r="I196" s="8">
        <f t="shared" si="12"/>
        <v>0</v>
      </c>
      <c r="J196" s="6" t="s">
        <v>45</v>
      </c>
      <c r="K196" s="6" t="s">
        <v>154</v>
      </c>
      <c r="L196" s="6" t="s">
        <v>26</v>
      </c>
      <c r="M196" s="6"/>
    </row>
    <row r="197" spans="1:15" ht="15" thickBot="1">
      <c r="A197" s="33"/>
      <c r="B197" s="5"/>
      <c r="C197" s="5"/>
      <c r="D197" s="6" t="s">
        <v>11</v>
      </c>
      <c r="E197" s="6">
        <v>1600</v>
      </c>
      <c r="F197" s="6">
        <v>1600</v>
      </c>
      <c r="G197" s="6">
        <v>1600</v>
      </c>
      <c r="H197" s="6">
        <v>1600</v>
      </c>
      <c r="I197" s="8">
        <f t="shared" si="12"/>
        <v>0</v>
      </c>
      <c r="J197" s="6" t="s">
        <v>45</v>
      </c>
      <c r="K197" s="6" t="s">
        <v>20</v>
      </c>
      <c r="L197" s="6" t="s">
        <v>27</v>
      </c>
      <c r="M197" s="6"/>
    </row>
    <row r="198" spans="1:15" ht="15" thickBot="1">
      <c r="A198" s="33"/>
      <c r="B198" s="5" t="s">
        <v>152</v>
      </c>
      <c r="C198" s="5" t="s">
        <v>57</v>
      </c>
      <c r="D198" s="6" t="s">
        <v>168</v>
      </c>
      <c r="E198" s="6">
        <v>1500</v>
      </c>
      <c r="F198" s="6">
        <v>1500</v>
      </c>
      <c r="G198" s="6"/>
      <c r="H198" s="6"/>
      <c r="I198" s="8">
        <f t="shared" si="12"/>
        <v>0</v>
      </c>
      <c r="J198" s="6" t="s">
        <v>45</v>
      </c>
      <c r="K198" s="6" t="s">
        <v>154</v>
      </c>
      <c r="L198" s="6" t="s">
        <v>59</v>
      </c>
      <c r="M198" s="6"/>
    </row>
    <row r="199" spans="1:15" ht="15" thickBot="1">
      <c r="A199" s="33"/>
      <c r="B199" s="5"/>
      <c r="C199" s="5"/>
      <c r="D199" s="6" t="s">
        <v>11</v>
      </c>
      <c r="E199" s="6">
        <v>1200</v>
      </c>
      <c r="F199" s="6">
        <v>1200</v>
      </c>
      <c r="G199" s="6">
        <v>1200</v>
      </c>
      <c r="H199" s="6">
        <v>1200</v>
      </c>
      <c r="I199" s="8">
        <f t="shared" si="12"/>
        <v>0</v>
      </c>
      <c r="J199" s="6" t="s">
        <v>45</v>
      </c>
      <c r="K199" s="6" t="s">
        <v>20</v>
      </c>
      <c r="L199" s="6" t="s">
        <v>27</v>
      </c>
      <c r="M199" s="6"/>
    </row>
    <row r="200" spans="1:15" ht="15" thickBot="1">
      <c r="A200" s="33"/>
      <c r="B200" s="5" t="s">
        <v>104</v>
      </c>
      <c r="C200" s="5" t="s">
        <v>119</v>
      </c>
      <c r="D200" s="6" t="s">
        <v>168</v>
      </c>
      <c r="E200" s="6">
        <v>1500</v>
      </c>
      <c r="F200" s="6">
        <v>1500</v>
      </c>
      <c r="G200" s="6"/>
      <c r="H200" s="6"/>
      <c r="I200" s="8">
        <f t="shared" si="12"/>
        <v>0</v>
      </c>
      <c r="J200" s="6" t="s">
        <v>45</v>
      </c>
      <c r="K200" s="6" t="s">
        <v>20</v>
      </c>
      <c r="L200" s="6" t="s">
        <v>26</v>
      </c>
      <c r="M200" s="6"/>
    </row>
    <row r="201" spans="1:15" ht="15" thickBot="1">
      <c r="A201" s="33"/>
      <c r="B201" s="5"/>
      <c r="C201" s="5"/>
      <c r="D201" s="6" t="s">
        <v>11</v>
      </c>
      <c r="E201" s="6">
        <v>1100</v>
      </c>
      <c r="F201" s="6">
        <v>1100</v>
      </c>
      <c r="G201" s="6">
        <v>1100</v>
      </c>
      <c r="H201" s="6">
        <v>1100</v>
      </c>
      <c r="I201" s="8">
        <f t="shared" si="12"/>
        <v>0</v>
      </c>
      <c r="J201" s="6" t="s">
        <v>45</v>
      </c>
      <c r="K201" s="6" t="s">
        <v>20</v>
      </c>
      <c r="L201" s="6" t="s">
        <v>26</v>
      </c>
      <c r="M201" s="6"/>
    </row>
    <row r="202" spans="1:15" ht="15" thickBot="1">
      <c r="A202" s="33"/>
      <c r="B202" s="5" t="s">
        <v>49</v>
      </c>
      <c r="C202" s="5" t="s">
        <v>25</v>
      </c>
      <c r="D202" s="6" t="s">
        <v>168</v>
      </c>
      <c r="E202" s="6">
        <v>300</v>
      </c>
      <c r="F202" s="6">
        <v>300</v>
      </c>
      <c r="G202" s="6"/>
      <c r="H202" s="6"/>
      <c r="I202" s="8">
        <f t="shared" si="12"/>
        <v>0</v>
      </c>
      <c r="J202" s="6" t="s">
        <v>45</v>
      </c>
      <c r="K202" s="6" t="s">
        <v>20</v>
      </c>
      <c r="L202" s="6" t="s">
        <v>26</v>
      </c>
      <c r="M202" s="6"/>
    </row>
    <row r="203" spans="1:15" ht="15" thickBot="1">
      <c r="A203" s="33"/>
      <c r="B203" s="5"/>
      <c r="C203" s="5"/>
      <c r="D203" s="6" t="s">
        <v>11</v>
      </c>
      <c r="E203" s="6">
        <v>250</v>
      </c>
      <c r="F203" s="6">
        <v>250</v>
      </c>
      <c r="G203" s="6">
        <v>250</v>
      </c>
      <c r="H203" s="6">
        <v>250</v>
      </c>
      <c r="I203" s="8">
        <f t="shared" si="12"/>
        <v>0</v>
      </c>
      <c r="J203" s="6" t="s">
        <v>45</v>
      </c>
      <c r="K203" s="6" t="s">
        <v>28</v>
      </c>
      <c r="L203" s="6" t="s">
        <v>27</v>
      </c>
      <c r="M203" s="6"/>
    </row>
    <row r="204" spans="1:15" ht="15" thickBot="1">
      <c r="A204" s="33"/>
      <c r="B204" s="5" t="s">
        <v>153</v>
      </c>
      <c r="C204" s="5" t="s">
        <v>35</v>
      </c>
      <c r="D204" s="6" t="s">
        <v>168</v>
      </c>
      <c r="E204" s="6">
        <v>10000</v>
      </c>
      <c r="F204" s="6">
        <v>10000</v>
      </c>
      <c r="G204" s="6"/>
      <c r="H204" s="6"/>
      <c r="I204" s="8">
        <f t="shared" si="12"/>
        <v>0</v>
      </c>
      <c r="J204" s="6" t="s">
        <v>45</v>
      </c>
      <c r="K204" s="6" t="s">
        <v>154</v>
      </c>
      <c r="L204" s="6" t="s">
        <v>26</v>
      </c>
      <c r="M204" s="6"/>
    </row>
    <row r="205" spans="1:15" ht="15" thickBot="1">
      <c r="A205" s="33"/>
      <c r="B205" s="5"/>
      <c r="C205" s="5"/>
      <c r="D205" s="6" t="s">
        <v>11</v>
      </c>
      <c r="E205" s="6">
        <v>8000</v>
      </c>
      <c r="F205" s="6">
        <v>8000</v>
      </c>
      <c r="G205" s="6">
        <v>8000</v>
      </c>
      <c r="H205" s="6">
        <v>8000</v>
      </c>
      <c r="I205" s="8">
        <f t="shared" si="12"/>
        <v>0</v>
      </c>
      <c r="J205" s="6" t="s">
        <v>45</v>
      </c>
      <c r="K205" s="6" t="s">
        <v>20</v>
      </c>
      <c r="L205" s="6" t="s">
        <v>59</v>
      </c>
      <c r="M205" s="6"/>
    </row>
    <row r="206" spans="1:15" ht="15" thickBot="1">
      <c r="A206" s="33"/>
      <c r="B206" s="10" t="s">
        <v>186</v>
      </c>
      <c r="C206" s="11"/>
      <c r="D206" s="12"/>
      <c r="E206" s="12"/>
      <c r="F206" s="12"/>
      <c r="G206" s="12"/>
      <c r="H206" s="12"/>
      <c r="I206" s="15">
        <f>AVERAGE(I182,I184,I186,I188,I190,I192,I194,I196,I198,I200,I202,I204)</f>
        <v>2.0833333333333335</v>
      </c>
      <c r="J206" s="12"/>
      <c r="K206" s="12"/>
      <c r="L206" s="12"/>
      <c r="M206" s="14"/>
      <c r="O206" s="16"/>
    </row>
    <row r="207" spans="1:15" ht="15" thickBot="1">
      <c r="A207" s="33"/>
      <c r="B207" s="10" t="s">
        <v>187</v>
      </c>
      <c r="C207" s="11"/>
      <c r="D207" s="12"/>
      <c r="E207" s="12"/>
      <c r="F207" s="12"/>
      <c r="G207" s="12"/>
      <c r="H207" s="12"/>
      <c r="I207" s="15">
        <f>AVERAGE(I183,I185,I187,I189,I191,I193,I195,I197,I199,I201,I203,I205)</f>
        <v>3.3333333333333326</v>
      </c>
      <c r="J207" s="12"/>
      <c r="K207" s="12"/>
      <c r="L207" s="12"/>
      <c r="M207" s="14"/>
    </row>
    <row r="208" spans="1:15" ht="15" thickBot="1">
      <c r="A208" s="33"/>
      <c r="B208" s="28" t="s">
        <v>122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30"/>
    </row>
    <row r="209" spans="1:13" ht="15" thickBot="1">
      <c r="A209" s="33"/>
      <c r="B209" s="5" t="s">
        <v>123</v>
      </c>
      <c r="C209" s="5"/>
      <c r="D209" s="6" t="s">
        <v>168</v>
      </c>
      <c r="E209" s="6">
        <v>100</v>
      </c>
      <c r="F209" s="6">
        <v>100</v>
      </c>
      <c r="G209" s="6"/>
      <c r="H209" s="6"/>
      <c r="I209" s="8">
        <f>((E209-F209)/E209)*100</f>
        <v>0</v>
      </c>
      <c r="J209" s="6" t="s">
        <v>45</v>
      </c>
      <c r="K209" s="6" t="s">
        <v>154</v>
      </c>
      <c r="L209" s="6" t="s">
        <v>184</v>
      </c>
      <c r="M209" s="6"/>
    </row>
    <row r="210" spans="1:13" ht="15" thickBot="1">
      <c r="A210" s="33"/>
      <c r="B210" s="5"/>
      <c r="C210" s="5"/>
      <c r="D210" s="6" t="s">
        <v>11</v>
      </c>
      <c r="E210" s="6">
        <v>50</v>
      </c>
      <c r="F210" s="6">
        <v>50</v>
      </c>
      <c r="G210" s="6">
        <v>50</v>
      </c>
      <c r="H210" s="6">
        <v>50</v>
      </c>
      <c r="I210" s="8">
        <f t="shared" ref="I210:I226" si="13">((E210-F210)/E210)*100</f>
        <v>0</v>
      </c>
      <c r="J210" s="6" t="s">
        <v>45</v>
      </c>
      <c r="K210" s="6" t="s">
        <v>28</v>
      </c>
      <c r="L210" s="6" t="s">
        <v>43</v>
      </c>
      <c r="M210" s="6"/>
    </row>
    <row r="211" spans="1:13" ht="15" thickBot="1">
      <c r="A211" s="33"/>
      <c r="B211" s="5" t="s">
        <v>155</v>
      </c>
      <c r="C211" s="5" t="s">
        <v>103</v>
      </c>
      <c r="D211" s="6" t="s">
        <v>168</v>
      </c>
      <c r="E211" s="6">
        <v>200</v>
      </c>
      <c r="F211" s="6">
        <v>200</v>
      </c>
      <c r="G211" s="6"/>
      <c r="H211" s="6"/>
      <c r="I211" s="8">
        <f t="shared" si="13"/>
        <v>0</v>
      </c>
      <c r="J211" s="6" t="s">
        <v>45</v>
      </c>
      <c r="K211" s="6" t="s">
        <v>154</v>
      </c>
      <c r="L211" s="6" t="s">
        <v>26</v>
      </c>
      <c r="M211" s="6"/>
    </row>
    <row r="212" spans="1:13" ht="15" thickBot="1">
      <c r="A212" s="33"/>
      <c r="B212" s="5"/>
      <c r="C212" s="5"/>
      <c r="D212" s="6" t="s">
        <v>11</v>
      </c>
      <c r="E212" s="6">
        <v>60</v>
      </c>
      <c r="F212" s="6">
        <v>60</v>
      </c>
      <c r="G212" s="6">
        <v>60</v>
      </c>
      <c r="H212" s="6">
        <v>60</v>
      </c>
      <c r="I212" s="8">
        <f t="shared" si="13"/>
        <v>0</v>
      </c>
      <c r="J212" s="6" t="s">
        <v>45</v>
      </c>
      <c r="K212" s="6" t="s">
        <v>154</v>
      </c>
      <c r="L212" s="6" t="s">
        <v>26</v>
      </c>
      <c r="M212" s="6"/>
    </row>
    <row r="213" spans="1:13" ht="15" thickBot="1">
      <c r="A213" s="33"/>
      <c r="B213" s="5" t="s">
        <v>156</v>
      </c>
      <c r="C213" s="5" t="s">
        <v>69</v>
      </c>
      <c r="D213" s="6" t="s">
        <v>168</v>
      </c>
      <c r="E213" s="6">
        <v>750</v>
      </c>
      <c r="F213" s="6">
        <v>700</v>
      </c>
      <c r="G213" s="6"/>
      <c r="H213" s="6"/>
      <c r="I213" s="8">
        <f t="shared" si="13"/>
        <v>6.666666666666667</v>
      </c>
      <c r="J213" s="6" t="s">
        <v>45</v>
      </c>
      <c r="K213" s="6" t="s">
        <v>154</v>
      </c>
      <c r="L213" s="6" t="s">
        <v>26</v>
      </c>
      <c r="M213" s="6" t="s">
        <v>172</v>
      </c>
    </row>
    <row r="214" spans="1:13" ht="15" thickBot="1">
      <c r="A214" s="33"/>
      <c r="B214" s="5"/>
      <c r="C214" s="5"/>
      <c r="D214" s="6" t="s">
        <v>11</v>
      </c>
      <c r="E214" s="6">
        <v>550</v>
      </c>
      <c r="F214" s="6">
        <v>500</v>
      </c>
      <c r="G214" s="6">
        <v>500</v>
      </c>
      <c r="H214" s="6">
        <v>500</v>
      </c>
      <c r="I214" s="8">
        <f t="shared" si="13"/>
        <v>9.0909090909090917</v>
      </c>
      <c r="J214" s="6" t="s">
        <v>45</v>
      </c>
      <c r="K214" s="6" t="s">
        <v>154</v>
      </c>
      <c r="L214" s="6" t="s">
        <v>26</v>
      </c>
      <c r="M214" s="6" t="s">
        <v>185</v>
      </c>
    </row>
    <row r="215" spans="1:13" ht="15" thickBot="1">
      <c r="A215" s="33"/>
      <c r="B215" s="5" t="s">
        <v>63</v>
      </c>
      <c r="C215" s="5" t="s">
        <v>103</v>
      </c>
      <c r="D215" s="6" t="s">
        <v>168</v>
      </c>
      <c r="E215" s="6">
        <v>750</v>
      </c>
      <c r="F215" s="6">
        <v>700</v>
      </c>
      <c r="G215" s="6"/>
      <c r="H215" s="6"/>
      <c r="I215" s="8">
        <f t="shared" si="13"/>
        <v>6.666666666666667</v>
      </c>
      <c r="J215" s="6" t="s">
        <v>45</v>
      </c>
      <c r="K215" s="6" t="s">
        <v>154</v>
      </c>
      <c r="L215" s="6" t="s">
        <v>26</v>
      </c>
      <c r="M215" s="6" t="s">
        <v>172</v>
      </c>
    </row>
    <row r="216" spans="1:13" ht="15" thickBot="1">
      <c r="A216" s="33"/>
      <c r="B216" s="5"/>
      <c r="C216" s="5"/>
      <c r="D216" s="6" t="s">
        <v>11</v>
      </c>
      <c r="E216" s="6">
        <v>600</v>
      </c>
      <c r="F216" s="6">
        <v>550</v>
      </c>
      <c r="G216" s="6">
        <v>550</v>
      </c>
      <c r="H216" s="6">
        <v>550</v>
      </c>
      <c r="I216" s="8">
        <f>((E216-H216)/E216)*100</f>
        <v>8.3333333333333321</v>
      </c>
      <c r="J216" s="6" t="s">
        <v>45</v>
      </c>
      <c r="K216" s="6" t="s">
        <v>154</v>
      </c>
      <c r="L216" s="6" t="s">
        <v>59</v>
      </c>
      <c r="M216" s="6" t="s">
        <v>172</v>
      </c>
    </row>
    <row r="217" spans="1:13" ht="15" thickBot="1">
      <c r="A217" s="33"/>
      <c r="B217" s="5" t="s">
        <v>157</v>
      </c>
      <c r="C217" s="5" t="s">
        <v>57</v>
      </c>
      <c r="D217" s="6" t="s">
        <v>168</v>
      </c>
      <c r="E217" s="6">
        <v>600</v>
      </c>
      <c r="F217" s="6">
        <v>600</v>
      </c>
      <c r="G217" s="6"/>
      <c r="H217" s="6"/>
      <c r="I217" s="8">
        <f t="shared" si="13"/>
        <v>0</v>
      </c>
      <c r="J217" s="6" t="s">
        <v>45</v>
      </c>
      <c r="K217" s="6" t="s">
        <v>154</v>
      </c>
      <c r="L217" s="6" t="s">
        <v>26</v>
      </c>
      <c r="M217" s="6"/>
    </row>
    <row r="218" spans="1:13" ht="15" thickBot="1">
      <c r="A218" s="33"/>
      <c r="B218" s="5"/>
      <c r="C218" s="5"/>
      <c r="D218" s="6" t="s">
        <v>11</v>
      </c>
      <c r="E218" s="6">
        <v>450</v>
      </c>
      <c r="F218" s="6">
        <v>450</v>
      </c>
      <c r="G218" s="6">
        <v>450</v>
      </c>
      <c r="H218" s="6">
        <v>450</v>
      </c>
      <c r="I218" s="8">
        <f t="shared" si="13"/>
        <v>0</v>
      </c>
      <c r="J218" s="6" t="s">
        <v>45</v>
      </c>
      <c r="K218" s="6" t="s">
        <v>161</v>
      </c>
      <c r="L218" s="6" t="s">
        <v>27</v>
      </c>
      <c r="M218" s="6"/>
    </row>
    <row r="219" spans="1:13" ht="15" thickBot="1">
      <c r="A219" s="33"/>
      <c r="B219" s="5" t="s">
        <v>158</v>
      </c>
      <c r="C219" s="5" t="s">
        <v>57</v>
      </c>
      <c r="D219" s="6" t="s">
        <v>168</v>
      </c>
      <c r="E219" s="6">
        <v>600</v>
      </c>
      <c r="F219" s="6">
        <v>600</v>
      </c>
      <c r="G219" s="6"/>
      <c r="H219" s="6"/>
      <c r="I219" s="8">
        <f t="shared" si="13"/>
        <v>0</v>
      </c>
      <c r="J219" s="6" t="s">
        <v>45</v>
      </c>
      <c r="K219" s="6" t="s">
        <v>154</v>
      </c>
      <c r="L219" s="6" t="s">
        <v>26</v>
      </c>
      <c r="M219" s="6"/>
    </row>
    <row r="220" spans="1:13" ht="15" thickBot="1">
      <c r="A220" s="33"/>
      <c r="B220" s="5"/>
      <c r="C220" s="5"/>
      <c r="D220" s="6" t="s">
        <v>11</v>
      </c>
      <c r="E220" s="6">
        <v>500</v>
      </c>
      <c r="F220" s="6">
        <v>400</v>
      </c>
      <c r="G220" s="6">
        <v>400</v>
      </c>
      <c r="H220" s="6">
        <v>400</v>
      </c>
      <c r="I220" s="8">
        <f t="shared" si="13"/>
        <v>20</v>
      </c>
      <c r="J220" s="6" t="s">
        <v>45</v>
      </c>
      <c r="K220" s="6" t="s">
        <v>154</v>
      </c>
      <c r="L220" s="6" t="s">
        <v>26</v>
      </c>
      <c r="M220" s="6" t="s">
        <v>185</v>
      </c>
    </row>
    <row r="221" spans="1:13" ht="15" thickBot="1">
      <c r="A221" s="33"/>
      <c r="B221" s="5" t="s">
        <v>104</v>
      </c>
      <c r="C221" s="5" t="s">
        <v>159</v>
      </c>
      <c r="D221" s="6" t="s">
        <v>168</v>
      </c>
      <c r="E221" s="6">
        <v>300</v>
      </c>
      <c r="F221" s="6">
        <v>300</v>
      </c>
      <c r="G221" s="6"/>
      <c r="H221" s="6"/>
      <c r="I221" s="8">
        <f t="shared" si="13"/>
        <v>0</v>
      </c>
      <c r="J221" s="6" t="s">
        <v>45</v>
      </c>
      <c r="K221" s="6" t="s">
        <v>154</v>
      </c>
      <c r="L221" s="6" t="s">
        <v>26</v>
      </c>
      <c r="M221" s="6"/>
    </row>
    <row r="222" spans="1:13" ht="15" thickBot="1">
      <c r="A222" s="33"/>
      <c r="B222" s="5"/>
      <c r="C222" s="5"/>
      <c r="D222" s="6" t="s">
        <v>11</v>
      </c>
      <c r="E222" s="6">
        <v>250</v>
      </c>
      <c r="F222" s="6">
        <v>250</v>
      </c>
      <c r="G222" s="6">
        <v>250</v>
      </c>
      <c r="H222" s="6">
        <v>250</v>
      </c>
      <c r="I222" s="8">
        <f t="shared" si="13"/>
        <v>0</v>
      </c>
      <c r="J222" s="6" t="s">
        <v>45</v>
      </c>
      <c r="K222" s="6" t="s">
        <v>154</v>
      </c>
      <c r="L222" s="6" t="s">
        <v>26</v>
      </c>
      <c r="M222" s="6"/>
    </row>
    <row r="223" spans="1:13" ht="15" thickBot="1">
      <c r="A223" s="33"/>
      <c r="B223" s="5" t="s">
        <v>160</v>
      </c>
      <c r="C223" s="5" t="s">
        <v>92</v>
      </c>
      <c r="D223" s="6" t="s">
        <v>168</v>
      </c>
      <c r="E223" s="6">
        <v>350</v>
      </c>
      <c r="F223" s="6">
        <v>350</v>
      </c>
      <c r="G223" s="6"/>
      <c r="H223" s="6"/>
      <c r="I223" s="8">
        <f t="shared" si="13"/>
        <v>0</v>
      </c>
      <c r="J223" s="6" t="s">
        <v>45</v>
      </c>
      <c r="K223" s="6" t="s">
        <v>154</v>
      </c>
      <c r="L223" s="6" t="s">
        <v>26</v>
      </c>
      <c r="M223" s="6"/>
    </row>
    <row r="224" spans="1:13" ht="15" thickBot="1">
      <c r="A224" s="33"/>
      <c r="B224" s="5"/>
      <c r="C224" s="5"/>
      <c r="D224" s="6" t="s">
        <v>11</v>
      </c>
      <c r="E224" s="6">
        <v>200</v>
      </c>
      <c r="F224" s="6">
        <v>200</v>
      </c>
      <c r="G224" s="6">
        <v>200</v>
      </c>
      <c r="H224" s="6">
        <v>200</v>
      </c>
      <c r="I224" s="8">
        <f t="shared" si="13"/>
        <v>0</v>
      </c>
      <c r="J224" s="6" t="s">
        <v>45</v>
      </c>
      <c r="K224" s="6" t="s">
        <v>161</v>
      </c>
      <c r="L224" s="6" t="s">
        <v>27</v>
      </c>
      <c r="M224" s="6"/>
    </row>
    <row r="225" spans="1:15" ht="15" thickBot="1">
      <c r="A225" s="33"/>
      <c r="B225" s="5" t="s">
        <v>89</v>
      </c>
      <c r="C225" s="5" t="s">
        <v>101</v>
      </c>
      <c r="D225" s="6" t="s">
        <v>168</v>
      </c>
      <c r="E225" s="6">
        <v>750</v>
      </c>
      <c r="F225" s="6">
        <v>750</v>
      </c>
      <c r="G225" s="6"/>
      <c r="H225" s="6"/>
      <c r="I225" s="8">
        <f t="shared" si="13"/>
        <v>0</v>
      </c>
      <c r="J225" s="6" t="s">
        <v>45</v>
      </c>
      <c r="K225" s="6" t="s">
        <v>154</v>
      </c>
      <c r="L225" s="6" t="s">
        <v>26</v>
      </c>
      <c r="M225" s="6"/>
    </row>
    <row r="226" spans="1:15" ht="15" thickBot="1">
      <c r="A226" s="33"/>
      <c r="B226" s="5"/>
      <c r="C226" s="5"/>
      <c r="D226" s="6" t="s">
        <v>11</v>
      </c>
      <c r="E226" s="6">
        <v>500</v>
      </c>
      <c r="F226" s="6">
        <v>500</v>
      </c>
      <c r="G226" s="6">
        <v>500</v>
      </c>
      <c r="H226" s="6">
        <v>500</v>
      </c>
      <c r="I226" s="8">
        <f t="shared" si="13"/>
        <v>0</v>
      </c>
      <c r="J226" s="6" t="s">
        <v>45</v>
      </c>
      <c r="K226" s="6" t="s">
        <v>162</v>
      </c>
      <c r="L226" s="6" t="s">
        <v>26</v>
      </c>
      <c r="M226" s="6"/>
    </row>
    <row r="227" spans="1:15" ht="15" thickBot="1">
      <c r="A227" s="33"/>
      <c r="B227" s="10" t="s">
        <v>186</v>
      </c>
      <c r="C227" s="11"/>
      <c r="D227" s="12"/>
      <c r="E227" s="12"/>
      <c r="F227" s="12"/>
      <c r="G227" s="12"/>
      <c r="H227" s="12"/>
      <c r="I227" s="15">
        <f>AVERAGE(I209,I211,I213,I215,I217,I219,I221,I223,I225)</f>
        <v>1.4814814814814816</v>
      </c>
      <c r="J227" s="12"/>
      <c r="K227" s="12"/>
      <c r="L227" s="12"/>
      <c r="M227" s="14"/>
      <c r="O227" s="16"/>
    </row>
    <row r="228" spans="1:15" ht="15" thickBot="1">
      <c r="A228" s="33"/>
      <c r="B228" s="10" t="s">
        <v>187</v>
      </c>
      <c r="C228" s="11"/>
      <c r="D228" s="12"/>
      <c r="E228" s="12"/>
      <c r="F228" s="12"/>
      <c r="G228" s="12"/>
      <c r="H228" s="12"/>
      <c r="I228" s="15">
        <f>AVERAGE(I210,I212,I214,I216,I218,I220,I222,I224,I226)</f>
        <v>4.1582491582491583</v>
      </c>
      <c r="J228" s="12"/>
      <c r="K228" s="12"/>
      <c r="L228" s="12"/>
      <c r="M228" s="14"/>
    </row>
    <row r="229" spans="1:15" ht="15" thickBot="1">
      <c r="A229" s="33"/>
      <c r="B229" s="28" t="s">
        <v>124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30"/>
    </row>
    <row r="230" spans="1:15" ht="15" thickBot="1">
      <c r="A230" s="33"/>
      <c r="B230" s="5" t="s">
        <v>87</v>
      </c>
      <c r="C230" s="5" t="s">
        <v>58</v>
      </c>
      <c r="D230" s="6" t="s">
        <v>11</v>
      </c>
      <c r="E230" s="6">
        <v>200</v>
      </c>
      <c r="F230" s="6">
        <v>200</v>
      </c>
      <c r="G230" s="6"/>
      <c r="H230" s="6"/>
      <c r="I230" s="8">
        <f>((E230-F230)/E230)*100</f>
        <v>0</v>
      </c>
      <c r="J230" s="6" t="s">
        <v>45</v>
      </c>
      <c r="K230" s="6" t="s">
        <v>20</v>
      </c>
      <c r="L230" s="6" t="s">
        <v>59</v>
      </c>
      <c r="M230" s="6"/>
    </row>
    <row r="231" spans="1:15" ht="15" thickBot="1">
      <c r="A231" s="33"/>
      <c r="B231" s="5"/>
      <c r="C231" s="5"/>
      <c r="D231" s="6" t="s">
        <v>168</v>
      </c>
      <c r="E231" s="6">
        <v>150</v>
      </c>
      <c r="F231" s="6">
        <v>150</v>
      </c>
      <c r="G231" s="6">
        <v>150</v>
      </c>
      <c r="H231" s="6">
        <v>150</v>
      </c>
      <c r="I231" s="8">
        <f t="shared" ref="I231:I241" si="14">((E231-F231)/E231)*100</f>
        <v>0</v>
      </c>
      <c r="J231" s="6" t="s">
        <v>45</v>
      </c>
      <c r="K231" s="6" t="s">
        <v>20</v>
      </c>
      <c r="L231" s="6" t="s">
        <v>59</v>
      </c>
      <c r="M231" s="6"/>
    </row>
    <row r="232" spans="1:15" ht="15" thickBot="1">
      <c r="A232" s="33"/>
      <c r="B232" s="5" t="s">
        <v>125</v>
      </c>
      <c r="C232" s="5" t="s">
        <v>126</v>
      </c>
      <c r="D232" s="6" t="s">
        <v>11</v>
      </c>
      <c r="E232" s="6">
        <v>500</v>
      </c>
      <c r="F232" s="6">
        <v>500</v>
      </c>
      <c r="G232" s="6"/>
      <c r="H232" s="6"/>
      <c r="I232" s="8">
        <f t="shared" si="14"/>
        <v>0</v>
      </c>
      <c r="J232" s="6" t="s">
        <v>45</v>
      </c>
      <c r="K232" s="6" t="s">
        <v>20</v>
      </c>
      <c r="L232" s="6" t="s">
        <v>75</v>
      </c>
      <c r="M232" s="6"/>
    </row>
    <row r="233" spans="1:15" ht="15" thickBot="1">
      <c r="A233" s="33"/>
      <c r="B233" s="5"/>
      <c r="C233" s="5"/>
      <c r="D233" s="6" t="s">
        <v>168</v>
      </c>
      <c r="E233" s="6">
        <v>300</v>
      </c>
      <c r="F233" s="6">
        <v>300</v>
      </c>
      <c r="G233" s="6">
        <v>250</v>
      </c>
      <c r="H233" s="6">
        <v>250</v>
      </c>
      <c r="I233" s="8">
        <f>((E233-H233)/E233)*100</f>
        <v>16.666666666666664</v>
      </c>
      <c r="J233" s="6" t="s">
        <v>45</v>
      </c>
      <c r="K233" s="6" t="s">
        <v>20</v>
      </c>
      <c r="L233" s="6" t="s">
        <v>26</v>
      </c>
      <c r="M233" s="6" t="s">
        <v>54</v>
      </c>
    </row>
    <row r="234" spans="1:15" ht="15" thickBot="1">
      <c r="A234" s="33"/>
      <c r="B234" s="5" t="s">
        <v>127</v>
      </c>
      <c r="C234" s="5" t="s">
        <v>128</v>
      </c>
      <c r="D234" s="6" t="s">
        <v>11</v>
      </c>
      <c r="E234" s="6">
        <v>1200</v>
      </c>
      <c r="F234" s="6">
        <v>1200</v>
      </c>
      <c r="G234" s="6"/>
      <c r="H234" s="6"/>
      <c r="I234" s="8">
        <f t="shared" si="14"/>
        <v>0</v>
      </c>
      <c r="J234" s="6" t="s">
        <v>45</v>
      </c>
      <c r="K234" s="6" t="s">
        <v>20</v>
      </c>
      <c r="L234" s="6" t="s">
        <v>26</v>
      </c>
      <c r="M234" s="6"/>
    </row>
    <row r="235" spans="1:15" ht="15" thickBot="1">
      <c r="A235" s="33"/>
      <c r="B235" s="5"/>
      <c r="C235" s="5"/>
      <c r="D235" s="6" t="s">
        <v>168</v>
      </c>
      <c r="E235" s="6">
        <v>700</v>
      </c>
      <c r="F235" s="6">
        <v>700</v>
      </c>
      <c r="G235" s="6">
        <v>700</v>
      </c>
      <c r="H235" s="6">
        <v>700</v>
      </c>
      <c r="I235" s="8">
        <f t="shared" si="14"/>
        <v>0</v>
      </c>
      <c r="J235" s="6" t="s">
        <v>45</v>
      </c>
      <c r="K235" s="6" t="s">
        <v>20</v>
      </c>
      <c r="L235" s="6" t="s">
        <v>26</v>
      </c>
      <c r="M235" s="6"/>
    </row>
    <row r="236" spans="1:15" ht="15" thickBot="1">
      <c r="A236" s="33"/>
      <c r="B236" s="5" t="s">
        <v>102</v>
      </c>
      <c r="C236" s="5" t="s">
        <v>95</v>
      </c>
      <c r="D236" s="6" t="s">
        <v>11</v>
      </c>
      <c r="E236" s="6">
        <v>500</v>
      </c>
      <c r="F236" s="6">
        <v>450</v>
      </c>
      <c r="G236" s="6"/>
      <c r="H236" s="6"/>
      <c r="I236" s="8">
        <f t="shared" si="14"/>
        <v>10</v>
      </c>
      <c r="J236" s="6" t="s">
        <v>45</v>
      </c>
      <c r="K236" s="6" t="s">
        <v>20</v>
      </c>
      <c r="L236" s="6" t="s">
        <v>26</v>
      </c>
      <c r="M236" s="6" t="s">
        <v>54</v>
      </c>
    </row>
    <row r="237" spans="1:15" ht="15" thickBot="1">
      <c r="A237" s="33"/>
      <c r="B237" s="5"/>
      <c r="C237" s="5"/>
      <c r="D237" s="6" t="s">
        <v>168</v>
      </c>
      <c r="E237" s="6">
        <v>400</v>
      </c>
      <c r="F237" s="6">
        <v>300</v>
      </c>
      <c r="G237" s="6">
        <v>250</v>
      </c>
      <c r="H237" s="6">
        <v>250</v>
      </c>
      <c r="I237" s="8">
        <f t="shared" si="14"/>
        <v>25</v>
      </c>
      <c r="J237" s="6" t="s">
        <v>45</v>
      </c>
      <c r="K237" s="6" t="s">
        <v>20</v>
      </c>
      <c r="L237" s="6" t="s">
        <v>26</v>
      </c>
      <c r="M237" s="6" t="s">
        <v>185</v>
      </c>
    </row>
    <row r="238" spans="1:15" ht="15" thickBot="1">
      <c r="A238" s="33"/>
      <c r="B238" s="5" t="s">
        <v>104</v>
      </c>
      <c r="C238" s="5" t="s">
        <v>126</v>
      </c>
      <c r="D238" s="6" t="s">
        <v>11</v>
      </c>
      <c r="E238" s="6">
        <v>300</v>
      </c>
      <c r="F238" s="6">
        <v>250</v>
      </c>
      <c r="G238" s="6"/>
      <c r="H238" s="6"/>
      <c r="I238" s="8">
        <f t="shared" si="14"/>
        <v>16.666666666666664</v>
      </c>
      <c r="J238" s="6" t="s">
        <v>45</v>
      </c>
      <c r="K238" s="6" t="s">
        <v>20</v>
      </c>
      <c r="L238" s="6" t="s">
        <v>55</v>
      </c>
      <c r="M238" s="6" t="s">
        <v>54</v>
      </c>
    </row>
    <row r="239" spans="1:15" ht="15" thickBot="1">
      <c r="A239" s="33"/>
      <c r="B239" s="5"/>
      <c r="C239" s="5"/>
      <c r="D239" s="6" t="s">
        <v>168</v>
      </c>
      <c r="E239" s="6">
        <v>150</v>
      </c>
      <c r="F239" s="6">
        <v>150</v>
      </c>
      <c r="G239" s="6">
        <v>100</v>
      </c>
      <c r="H239" s="6">
        <v>100</v>
      </c>
      <c r="I239" s="8">
        <f>((E239-H239)/E239)*100</f>
        <v>33.333333333333329</v>
      </c>
      <c r="J239" s="6" t="s">
        <v>45</v>
      </c>
      <c r="K239" s="6" t="s">
        <v>20</v>
      </c>
      <c r="L239" s="6" t="s">
        <v>17</v>
      </c>
      <c r="M239" s="6" t="s">
        <v>129</v>
      </c>
    </row>
    <row r="240" spans="1:15" ht="15" thickBot="1">
      <c r="A240" s="33"/>
      <c r="B240" s="5" t="s">
        <v>163</v>
      </c>
      <c r="C240" s="5" t="s">
        <v>128</v>
      </c>
      <c r="D240" s="6" t="s">
        <v>11</v>
      </c>
      <c r="E240" s="6">
        <v>400</v>
      </c>
      <c r="F240" s="6">
        <v>400</v>
      </c>
      <c r="G240" s="6"/>
      <c r="H240" s="6"/>
      <c r="I240" s="8">
        <f t="shared" si="14"/>
        <v>0</v>
      </c>
      <c r="J240" s="6" t="s">
        <v>45</v>
      </c>
      <c r="K240" s="6" t="s">
        <v>154</v>
      </c>
      <c r="L240" s="6" t="s">
        <v>55</v>
      </c>
      <c r="M240" s="6"/>
    </row>
    <row r="241" spans="1:15" ht="15" thickBot="1">
      <c r="A241" s="33"/>
      <c r="B241" s="5"/>
      <c r="C241" s="5"/>
      <c r="D241" s="6" t="s">
        <v>168</v>
      </c>
      <c r="E241" s="6">
        <v>300</v>
      </c>
      <c r="F241" s="6">
        <v>300</v>
      </c>
      <c r="G241" s="6">
        <v>300</v>
      </c>
      <c r="H241" s="6">
        <v>300</v>
      </c>
      <c r="I241" s="8">
        <f t="shared" si="14"/>
        <v>0</v>
      </c>
      <c r="J241" s="6" t="s">
        <v>45</v>
      </c>
      <c r="K241" s="6" t="s">
        <v>28</v>
      </c>
      <c r="L241" s="6" t="s">
        <v>27</v>
      </c>
      <c r="M241" s="6"/>
    </row>
    <row r="242" spans="1:15" ht="15" thickBot="1">
      <c r="A242" s="33"/>
      <c r="B242" s="10" t="s">
        <v>186</v>
      </c>
      <c r="C242" s="11"/>
      <c r="D242" s="12"/>
      <c r="E242" s="12"/>
      <c r="F242" s="12"/>
      <c r="G242" s="12"/>
      <c r="H242" s="12"/>
      <c r="I242" s="15">
        <f>AVERAGE(I230,I232,I234,I236,I238,I240)</f>
        <v>4.4444444444444438</v>
      </c>
      <c r="J242" s="12"/>
      <c r="K242" s="12"/>
      <c r="L242" s="12"/>
      <c r="M242" s="14"/>
      <c r="O242" s="16"/>
    </row>
    <row r="243" spans="1:15" ht="15" thickBot="1">
      <c r="A243" s="33"/>
      <c r="B243" s="10" t="s">
        <v>187</v>
      </c>
      <c r="C243" s="11"/>
      <c r="D243" s="12"/>
      <c r="E243" s="12"/>
      <c r="F243" s="12"/>
      <c r="G243" s="12"/>
      <c r="H243" s="12"/>
      <c r="I243" s="15">
        <f>AVERAGE(I231,I233,I235,I237,I239,I241)</f>
        <v>12.5</v>
      </c>
      <c r="J243" s="12"/>
      <c r="K243" s="12"/>
      <c r="L243" s="12"/>
      <c r="M243" s="14"/>
    </row>
    <row r="244" spans="1:15" ht="15" thickBot="1">
      <c r="A244" s="18"/>
      <c r="B244" s="19" t="s">
        <v>203</v>
      </c>
      <c r="C244" s="20"/>
      <c r="D244" s="21"/>
      <c r="E244" s="21"/>
      <c r="F244" s="21"/>
      <c r="G244" s="21"/>
      <c r="H244" s="21"/>
      <c r="I244" s="22">
        <f>AVERAGE(I242,I227,I206,I179,I164)</f>
        <v>4.5185185185185182</v>
      </c>
      <c r="J244" s="21"/>
      <c r="K244" s="21"/>
      <c r="L244" s="21"/>
      <c r="M244" s="23"/>
    </row>
    <row r="245" spans="1:15" ht="15" thickBot="1">
      <c r="A245" s="18"/>
      <c r="B245" s="19" t="s">
        <v>204</v>
      </c>
      <c r="C245" s="20"/>
      <c r="D245" s="21"/>
      <c r="E245" s="21"/>
      <c r="F245" s="21"/>
      <c r="G245" s="21"/>
      <c r="H245" s="21"/>
      <c r="I245" s="22">
        <f>AVERAGE(I243,I228,I207,I180,I165)</f>
        <v>6.9983164983164983</v>
      </c>
      <c r="J245" s="21"/>
      <c r="K245" s="21"/>
      <c r="L245" s="21"/>
      <c r="M245" s="23"/>
    </row>
  </sheetData>
  <mergeCells count="29">
    <mergeCell ref="A1:A3"/>
    <mergeCell ref="A4:A48"/>
    <mergeCell ref="A51:A150"/>
    <mergeCell ref="A153:A243"/>
    <mergeCell ref="B37:C37"/>
    <mergeCell ref="B47:C47"/>
    <mergeCell ref="B48:C48"/>
    <mergeCell ref="B36:C36"/>
    <mergeCell ref="B26:C26"/>
    <mergeCell ref="B25:C25"/>
    <mergeCell ref="B153:M153"/>
    <mergeCell ref="B166:M166"/>
    <mergeCell ref="B181:M181"/>
    <mergeCell ref="B208:M208"/>
    <mergeCell ref="B229:M229"/>
    <mergeCell ref="B60:M60"/>
    <mergeCell ref="B73:M73"/>
    <mergeCell ref="B100:M100"/>
    <mergeCell ref="B111:M111"/>
    <mergeCell ref="B140:M140"/>
    <mergeCell ref="B27:M27"/>
    <mergeCell ref="B38:M38"/>
    <mergeCell ref="B51:M51"/>
    <mergeCell ref="B12:C12"/>
    <mergeCell ref="B13:C13"/>
    <mergeCell ref="E1:M1"/>
    <mergeCell ref="B1:C2"/>
    <mergeCell ref="B14:M14"/>
    <mergeCell ref="B3:M3"/>
  </mergeCells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4E31-B15B-4090-833A-8CF2E079763B}">
  <dimension ref="A1:M131"/>
  <sheetViews>
    <sheetView tabSelected="1" topLeftCell="H106" zoomScale="99" workbookViewId="0">
      <selection activeCell="M120" sqref="M120"/>
    </sheetView>
  </sheetViews>
  <sheetFormatPr baseColWidth="10" defaultRowHeight="14.4"/>
  <cols>
    <col min="1" max="1" width="22.33203125" customWidth="1"/>
    <col min="2" max="2" width="26.77734375" customWidth="1"/>
    <col min="3" max="3" width="13.6640625" customWidth="1"/>
    <col min="12" max="12" width="23.21875" bestFit="1" customWidth="1"/>
    <col min="13" max="13" width="28.88671875" customWidth="1"/>
  </cols>
  <sheetData>
    <row r="1" spans="1:13" ht="15" thickBot="1">
      <c r="A1" s="33" t="s">
        <v>202</v>
      </c>
      <c r="B1" s="34" t="s">
        <v>0</v>
      </c>
      <c r="C1" s="34"/>
      <c r="D1" s="3"/>
      <c r="E1" s="35" t="s">
        <v>1</v>
      </c>
      <c r="F1" s="35"/>
      <c r="G1" s="35"/>
      <c r="H1" s="35"/>
      <c r="I1" s="35"/>
      <c r="J1" s="35"/>
      <c r="K1" s="35"/>
      <c r="L1" s="35"/>
      <c r="M1" s="35"/>
    </row>
    <row r="2" spans="1:13" ht="29.4" thickBot="1">
      <c r="A2" s="33"/>
      <c r="B2" s="34"/>
      <c r="C2" s="34"/>
      <c r="D2" s="3" t="s">
        <v>169</v>
      </c>
      <c r="E2" s="4" t="s">
        <v>2</v>
      </c>
      <c r="F2" s="4" t="s">
        <v>164</v>
      </c>
      <c r="G2" s="4" t="s">
        <v>3</v>
      </c>
      <c r="H2" s="4" t="s">
        <v>165</v>
      </c>
      <c r="I2" s="4" t="s">
        <v>166</v>
      </c>
      <c r="J2" s="4" t="s">
        <v>4</v>
      </c>
      <c r="K2" s="4" t="s">
        <v>5</v>
      </c>
      <c r="L2" s="4" t="s">
        <v>7</v>
      </c>
      <c r="M2" s="4" t="s">
        <v>6</v>
      </c>
    </row>
    <row r="3" spans="1:13" ht="15" thickBot="1">
      <c r="A3" s="33"/>
      <c r="B3" s="36" t="s">
        <v>8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3" ht="15" thickBot="1">
      <c r="A4" s="39"/>
      <c r="B4" s="25" t="s">
        <v>90</v>
      </c>
      <c r="C4" s="25" t="s">
        <v>170</v>
      </c>
      <c r="D4" s="6" t="s">
        <v>11</v>
      </c>
      <c r="E4" s="6">
        <v>200</v>
      </c>
      <c r="F4" s="6">
        <v>200</v>
      </c>
      <c r="G4" s="6">
        <v>200</v>
      </c>
      <c r="H4" s="6">
        <v>200</v>
      </c>
      <c r="I4" s="8">
        <f>((E4-H4)/E4)*100</f>
        <v>0</v>
      </c>
      <c r="J4" s="6" t="s">
        <v>45</v>
      </c>
      <c r="K4" s="6" t="s">
        <v>28</v>
      </c>
      <c r="L4" s="6" t="s">
        <v>43</v>
      </c>
      <c r="M4" s="6"/>
    </row>
    <row r="5" spans="1:13" ht="15" thickBot="1">
      <c r="A5" s="39"/>
      <c r="B5" s="25" t="s">
        <v>12</v>
      </c>
      <c r="C5" s="25" t="s">
        <v>58</v>
      </c>
      <c r="D5" s="6" t="s">
        <v>11</v>
      </c>
      <c r="E5" s="6">
        <v>200</v>
      </c>
      <c r="F5" s="6">
        <v>100</v>
      </c>
      <c r="G5" s="6">
        <v>100</v>
      </c>
      <c r="H5" s="6">
        <v>100</v>
      </c>
      <c r="I5" s="8">
        <f>((E5-H5)/E5)*100</f>
        <v>50</v>
      </c>
      <c r="J5" s="6" t="s">
        <v>45</v>
      </c>
      <c r="K5" s="6" t="s">
        <v>9</v>
      </c>
      <c r="L5" s="6" t="s">
        <v>26</v>
      </c>
      <c r="M5" s="6" t="s">
        <v>209</v>
      </c>
    </row>
    <row r="6" spans="1:13" ht="15" thickBot="1">
      <c r="A6" s="39"/>
      <c r="B6" s="25" t="s">
        <v>14</v>
      </c>
      <c r="C6" s="26" t="s">
        <v>205</v>
      </c>
      <c r="D6" s="6" t="s">
        <v>11</v>
      </c>
      <c r="E6" s="6">
        <v>200</v>
      </c>
      <c r="F6" s="6">
        <v>200</v>
      </c>
      <c r="G6" s="6">
        <v>100</v>
      </c>
      <c r="H6" s="6">
        <v>100</v>
      </c>
      <c r="I6" s="8">
        <f>((E6-H6)/E6)*100</f>
        <v>50</v>
      </c>
      <c r="J6" s="6" t="s">
        <v>45</v>
      </c>
      <c r="K6" s="6" t="s">
        <v>9</v>
      </c>
      <c r="L6" s="6" t="s">
        <v>26</v>
      </c>
      <c r="M6" s="6" t="s">
        <v>210</v>
      </c>
    </row>
    <row r="7" spans="1:13" ht="15" thickBot="1">
      <c r="A7" s="39"/>
      <c r="B7" s="26" t="s">
        <v>206</v>
      </c>
      <c r="C7" s="25" t="s">
        <v>53</v>
      </c>
      <c r="D7" s="6" t="s">
        <v>11</v>
      </c>
      <c r="E7" s="6">
        <v>200</v>
      </c>
      <c r="F7" s="6">
        <v>200</v>
      </c>
      <c r="G7" s="6">
        <v>200</v>
      </c>
      <c r="H7" s="6">
        <v>200</v>
      </c>
      <c r="I7" s="8">
        <f>((E7-F7)/E7)*100</f>
        <v>0</v>
      </c>
      <c r="J7" s="6" t="s">
        <v>45</v>
      </c>
      <c r="K7" s="6" t="s">
        <v>9</v>
      </c>
      <c r="L7" s="6" t="s">
        <v>27</v>
      </c>
      <c r="M7" s="6"/>
    </row>
    <row r="8" spans="1:13" ht="15" thickBot="1">
      <c r="A8" s="39"/>
      <c r="B8" s="31" t="s">
        <v>187</v>
      </c>
      <c r="C8" s="32"/>
      <c r="D8" s="12"/>
      <c r="E8" s="12"/>
      <c r="F8" s="12"/>
      <c r="G8" s="12"/>
      <c r="H8" s="12"/>
      <c r="I8" s="13">
        <f>AVERAGE(I4,I5,I6,I7)</f>
        <v>25</v>
      </c>
      <c r="J8" s="12"/>
      <c r="K8" s="12"/>
      <c r="L8" s="12"/>
      <c r="M8" s="14"/>
    </row>
    <row r="9" spans="1:13" ht="15" thickBot="1">
      <c r="A9" s="39"/>
      <c r="B9" s="28" t="s">
        <v>19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30"/>
    </row>
    <row r="10" spans="1:13" ht="15" thickBot="1">
      <c r="A10" s="39"/>
      <c r="B10" s="5" t="s">
        <v>171</v>
      </c>
      <c r="C10" s="5" t="s">
        <v>22</v>
      </c>
      <c r="D10" s="6" t="s">
        <v>11</v>
      </c>
      <c r="E10" s="6">
        <v>150</v>
      </c>
      <c r="F10" s="6">
        <v>150</v>
      </c>
      <c r="G10" s="6">
        <v>150</v>
      </c>
      <c r="H10" s="6">
        <v>150</v>
      </c>
      <c r="I10" s="9">
        <f t="shared" ref="I10:I14" si="0">((E10-F10)/E10)*100</f>
        <v>0</v>
      </c>
      <c r="J10" s="6" t="s">
        <v>45</v>
      </c>
      <c r="K10" s="6" t="s">
        <v>9</v>
      </c>
      <c r="L10" s="6" t="s">
        <v>26</v>
      </c>
      <c r="M10" s="6"/>
    </row>
    <row r="11" spans="1:13" ht="15" thickBot="1">
      <c r="A11" s="39"/>
      <c r="B11" s="5" t="s">
        <v>21</v>
      </c>
      <c r="C11" s="5" t="s">
        <v>22</v>
      </c>
      <c r="D11" s="24" t="s">
        <v>11</v>
      </c>
      <c r="E11" s="6">
        <v>300</v>
      </c>
      <c r="F11" s="6">
        <v>300</v>
      </c>
      <c r="G11" s="6">
        <v>250</v>
      </c>
      <c r="H11" s="6">
        <v>250</v>
      </c>
      <c r="I11" s="9">
        <f>((E11-H11)/E11)*100</f>
        <v>16.666666666666664</v>
      </c>
      <c r="J11" s="6" t="s">
        <v>45</v>
      </c>
      <c r="K11" s="6" t="s">
        <v>9</v>
      </c>
      <c r="L11" s="6" t="s">
        <v>26</v>
      </c>
      <c r="M11" s="6" t="s">
        <v>172</v>
      </c>
    </row>
    <row r="12" spans="1:13" ht="15" thickBot="1">
      <c r="A12" s="39"/>
      <c r="B12" s="5" t="s">
        <v>24</v>
      </c>
      <c r="C12" s="5" t="s">
        <v>25</v>
      </c>
      <c r="D12" s="6" t="s">
        <v>11</v>
      </c>
      <c r="E12" s="6">
        <v>700</v>
      </c>
      <c r="F12" s="6">
        <v>700</v>
      </c>
      <c r="G12" s="6">
        <v>700</v>
      </c>
      <c r="H12" s="6">
        <v>700</v>
      </c>
      <c r="I12" s="9">
        <f t="shared" si="0"/>
        <v>0</v>
      </c>
      <c r="J12" s="6" t="s">
        <v>45</v>
      </c>
      <c r="K12" s="6" t="s">
        <v>28</v>
      </c>
      <c r="L12" s="6" t="s">
        <v>27</v>
      </c>
      <c r="M12" s="6"/>
    </row>
    <row r="13" spans="1:13" ht="15" thickBot="1">
      <c r="A13" s="39"/>
      <c r="B13" s="5" t="s">
        <v>29</v>
      </c>
      <c r="C13" s="5" t="s">
        <v>30</v>
      </c>
      <c r="D13" s="6" t="s">
        <v>11</v>
      </c>
      <c r="E13" s="6">
        <v>250</v>
      </c>
      <c r="F13" s="6">
        <v>250</v>
      </c>
      <c r="G13" s="6">
        <v>200</v>
      </c>
      <c r="H13" s="6">
        <v>200</v>
      </c>
      <c r="I13" s="9">
        <f>((E13-H13)/E13)*100</f>
        <v>20</v>
      </c>
      <c r="J13" s="6" t="s">
        <v>45</v>
      </c>
      <c r="K13" s="6" t="s">
        <v>20</v>
      </c>
      <c r="L13" s="6" t="s">
        <v>17</v>
      </c>
      <c r="M13" s="6"/>
    </row>
    <row r="14" spans="1:13" ht="15" thickBot="1">
      <c r="A14" s="39"/>
      <c r="B14" s="5" t="s">
        <v>32</v>
      </c>
      <c r="C14" s="5" t="s">
        <v>22</v>
      </c>
      <c r="D14" s="6" t="s">
        <v>11</v>
      </c>
      <c r="E14" s="6">
        <v>50</v>
      </c>
      <c r="F14" s="6">
        <v>50</v>
      </c>
      <c r="G14" s="6">
        <v>50</v>
      </c>
      <c r="H14" s="6">
        <v>50</v>
      </c>
      <c r="I14" s="9">
        <f t="shared" si="0"/>
        <v>0</v>
      </c>
      <c r="J14" s="6" t="s">
        <v>45</v>
      </c>
      <c r="K14" s="6" t="s">
        <v>20</v>
      </c>
      <c r="L14" s="6" t="s">
        <v>17</v>
      </c>
      <c r="M14" s="6"/>
    </row>
    <row r="15" spans="1:13" ht="15" thickBot="1">
      <c r="A15" s="39"/>
      <c r="B15" s="31" t="s">
        <v>187</v>
      </c>
      <c r="C15" s="32"/>
      <c r="D15" s="12"/>
      <c r="E15" s="12"/>
      <c r="F15" s="12"/>
      <c r="G15" s="12"/>
      <c r="H15" s="12"/>
      <c r="I15" s="15">
        <f>AVERAGE(I10,I11,I12,I13)</f>
        <v>9.1666666666666661</v>
      </c>
      <c r="J15" s="12"/>
      <c r="K15" s="12"/>
      <c r="L15" s="12"/>
      <c r="M15" s="14"/>
    </row>
    <row r="16" spans="1:13" ht="15" thickBot="1">
      <c r="A16" s="39"/>
      <c r="B16" s="28" t="s">
        <v>33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0"/>
    </row>
    <row r="17" spans="1:13" ht="15" thickBot="1">
      <c r="A17" s="39"/>
      <c r="B17" s="5" t="s">
        <v>34</v>
      </c>
      <c r="C17" s="5" t="s">
        <v>35</v>
      </c>
      <c r="D17" s="6" t="s">
        <v>11</v>
      </c>
      <c r="E17" s="6">
        <v>250</v>
      </c>
      <c r="F17" s="6">
        <v>250</v>
      </c>
      <c r="G17" s="6">
        <v>200</v>
      </c>
      <c r="H17" s="6">
        <v>200</v>
      </c>
      <c r="I17" s="9">
        <f>((E17-H17)/E17)*100</f>
        <v>20</v>
      </c>
      <c r="J17" s="6" t="s">
        <v>45</v>
      </c>
      <c r="K17" s="6" t="s">
        <v>20</v>
      </c>
      <c r="L17" s="6" t="s">
        <v>26</v>
      </c>
      <c r="M17" s="6" t="s">
        <v>172</v>
      </c>
    </row>
    <row r="18" spans="1:13" ht="15" thickBot="1">
      <c r="A18" s="39"/>
      <c r="B18" s="5" t="s">
        <v>36</v>
      </c>
      <c r="C18" s="5" t="s">
        <v>37</v>
      </c>
      <c r="D18" s="6" t="s">
        <v>11</v>
      </c>
      <c r="E18" s="6">
        <v>25</v>
      </c>
      <c r="F18" s="6">
        <v>25</v>
      </c>
      <c r="G18" s="6">
        <v>20</v>
      </c>
      <c r="H18" s="6">
        <v>20</v>
      </c>
      <c r="I18" s="9">
        <f>((E18-H18)/E18)*100</f>
        <v>20</v>
      </c>
      <c r="J18" s="6" t="s">
        <v>45</v>
      </c>
      <c r="K18" s="6" t="s">
        <v>20</v>
      </c>
      <c r="L18" s="6" t="s">
        <v>26</v>
      </c>
      <c r="M18" s="6" t="s">
        <v>175</v>
      </c>
    </row>
    <row r="19" spans="1:13" ht="15" thickBot="1">
      <c r="A19" s="39"/>
      <c r="B19" s="5" t="s">
        <v>38</v>
      </c>
      <c r="C19" s="5" t="s">
        <v>37</v>
      </c>
      <c r="D19" s="6" t="s">
        <v>11</v>
      </c>
      <c r="E19" s="6">
        <v>300</v>
      </c>
      <c r="F19" s="6">
        <v>300</v>
      </c>
      <c r="G19" s="6">
        <v>250</v>
      </c>
      <c r="H19" s="6">
        <v>250</v>
      </c>
      <c r="I19" s="9">
        <f>((E19-H19)/E19)*100</f>
        <v>16.666666666666664</v>
      </c>
      <c r="J19" s="6" t="s">
        <v>45</v>
      </c>
      <c r="K19" s="6" t="s">
        <v>20</v>
      </c>
      <c r="L19" s="6" t="s">
        <v>26</v>
      </c>
      <c r="M19" s="6" t="s">
        <v>175</v>
      </c>
    </row>
    <row r="20" spans="1:13" ht="15" thickBot="1">
      <c r="A20" s="39"/>
      <c r="B20" s="5" t="s">
        <v>39</v>
      </c>
      <c r="C20" s="5" t="s">
        <v>35</v>
      </c>
      <c r="D20" s="6" t="s">
        <v>11</v>
      </c>
      <c r="E20" s="6">
        <v>100</v>
      </c>
      <c r="F20" s="6">
        <v>100</v>
      </c>
      <c r="G20" s="6">
        <v>100</v>
      </c>
      <c r="H20" s="6">
        <v>100</v>
      </c>
      <c r="I20" s="9">
        <f t="shared" ref="I20" si="1">((E20-F20)/E20)*100</f>
        <v>0</v>
      </c>
      <c r="J20" s="6" t="s">
        <v>45</v>
      </c>
      <c r="K20" s="6" t="s">
        <v>20</v>
      </c>
      <c r="L20" s="6" t="s">
        <v>27</v>
      </c>
      <c r="M20" s="6"/>
    </row>
    <row r="21" spans="1:13" ht="15" thickBot="1">
      <c r="A21" s="39"/>
      <c r="B21" s="31" t="s">
        <v>187</v>
      </c>
      <c r="C21" s="32"/>
      <c r="D21" s="12"/>
      <c r="E21" s="12"/>
      <c r="F21" s="12"/>
      <c r="G21" s="12"/>
      <c r="H21" s="12"/>
      <c r="I21" s="15">
        <f>AVERAGE(I17,I18,I19,I20)</f>
        <v>14.166666666666666</v>
      </c>
      <c r="J21" s="12"/>
      <c r="K21" s="12"/>
      <c r="L21" s="12"/>
      <c r="M21" s="14"/>
    </row>
    <row r="22" spans="1:13" ht="15" thickBot="1">
      <c r="A22" s="39"/>
      <c r="B22" s="28" t="s">
        <v>40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0"/>
    </row>
    <row r="23" spans="1:13" ht="15" thickBot="1">
      <c r="A23" s="39"/>
      <c r="B23" s="5" t="s">
        <v>41</v>
      </c>
      <c r="C23" s="5" t="s">
        <v>42</v>
      </c>
      <c r="D23" s="6" t="s">
        <v>11</v>
      </c>
      <c r="E23" s="6">
        <v>200</v>
      </c>
      <c r="F23" s="6">
        <v>200</v>
      </c>
      <c r="G23" s="6">
        <v>200</v>
      </c>
      <c r="H23" s="6">
        <v>200</v>
      </c>
      <c r="I23" s="9">
        <f t="shared" ref="I23:I26" si="2">((E23-F23)/E23)*100</f>
        <v>0</v>
      </c>
      <c r="J23" s="6" t="s">
        <v>45</v>
      </c>
      <c r="K23" s="6" t="s">
        <v>20</v>
      </c>
      <c r="L23" s="6" t="s">
        <v>43</v>
      </c>
      <c r="M23" s="6"/>
    </row>
    <row r="24" spans="1:13" ht="15" thickBot="1">
      <c r="A24" s="39"/>
      <c r="B24" s="5" t="s">
        <v>44</v>
      </c>
      <c r="C24" s="5" t="s">
        <v>42</v>
      </c>
      <c r="D24" s="6" t="s">
        <v>11</v>
      </c>
      <c r="E24" s="6">
        <v>105</v>
      </c>
      <c r="F24" s="6">
        <v>105</v>
      </c>
      <c r="G24" s="6">
        <v>105</v>
      </c>
      <c r="H24" s="6">
        <v>105</v>
      </c>
      <c r="I24" s="9">
        <f t="shared" si="2"/>
        <v>0</v>
      </c>
      <c r="J24" s="6" t="s">
        <v>45</v>
      </c>
      <c r="K24" s="6" t="s">
        <v>28</v>
      </c>
      <c r="L24" s="6" t="s">
        <v>27</v>
      </c>
      <c r="M24" s="6"/>
    </row>
    <row r="25" spans="1:13" ht="15" thickBot="1">
      <c r="A25" s="39"/>
      <c r="B25" s="5" t="s">
        <v>47</v>
      </c>
      <c r="C25" s="5" t="s">
        <v>42</v>
      </c>
      <c r="D25" s="6" t="s">
        <v>11</v>
      </c>
      <c r="E25" s="6">
        <v>150</v>
      </c>
      <c r="F25" s="6">
        <v>150</v>
      </c>
      <c r="G25" s="6">
        <v>150</v>
      </c>
      <c r="H25" s="6">
        <v>150</v>
      </c>
      <c r="I25" s="9">
        <f>((E25-H25)/E25)*100</f>
        <v>0</v>
      </c>
      <c r="J25" s="6" t="s">
        <v>45</v>
      </c>
      <c r="K25" s="6" t="s">
        <v>48</v>
      </c>
      <c r="L25" s="6" t="s">
        <v>55</v>
      </c>
      <c r="M25" s="6"/>
    </row>
    <row r="26" spans="1:13" ht="15" thickBot="1">
      <c r="A26" s="39"/>
      <c r="B26" s="5" t="s">
        <v>49</v>
      </c>
      <c r="C26" s="5" t="s">
        <v>50</v>
      </c>
      <c r="D26" s="6" t="s">
        <v>11</v>
      </c>
      <c r="E26" s="6">
        <v>30</v>
      </c>
      <c r="F26" s="6">
        <v>30</v>
      </c>
      <c r="G26" s="6"/>
      <c r="H26" s="6"/>
      <c r="I26" s="9">
        <f t="shared" si="2"/>
        <v>0</v>
      </c>
      <c r="J26" s="6" t="s">
        <v>45</v>
      </c>
      <c r="K26" s="6" t="s">
        <v>28</v>
      </c>
      <c r="L26" s="6" t="s">
        <v>27</v>
      </c>
      <c r="M26" s="6"/>
    </row>
    <row r="27" spans="1:13" ht="15" thickBot="1">
      <c r="A27" s="39"/>
      <c r="B27" s="31" t="s">
        <v>187</v>
      </c>
      <c r="C27" s="32"/>
      <c r="D27" s="12"/>
      <c r="E27" s="12"/>
      <c r="F27" s="12"/>
      <c r="G27" s="12"/>
      <c r="H27" s="12"/>
      <c r="I27" s="15">
        <f>AVERAGE(I23+I24+I25+I26)</f>
        <v>0</v>
      </c>
      <c r="J27" s="12"/>
      <c r="K27" s="12"/>
      <c r="L27" s="12"/>
      <c r="M27" s="14"/>
    </row>
    <row r="28" spans="1:13" ht="15" thickBot="1">
      <c r="A28" s="18"/>
      <c r="B28" s="19" t="s">
        <v>204</v>
      </c>
      <c r="C28" s="20"/>
      <c r="D28" s="21"/>
      <c r="E28" s="21"/>
      <c r="F28" s="21"/>
      <c r="G28" s="21"/>
      <c r="H28" s="21"/>
      <c r="I28" s="22">
        <f>AVERAGE(I27,I21,I15,I8)</f>
        <v>12.083333333333332</v>
      </c>
      <c r="J28" s="21"/>
      <c r="K28" s="21"/>
      <c r="L28" s="21"/>
      <c r="M28" s="23"/>
    </row>
    <row r="29" spans="1:13" ht="15" thickBot="1">
      <c r="A29" s="39" t="s">
        <v>200</v>
      </c>
      <c r="B29" s="28" t="s">
        <v>51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0"/>
    </row>
    <row r="30" spans="1:13" ht="15" thickBot="1">
      <c r="A30" s="39"/>
      <c r="B30" s="5" t="s">
        <v>44</v>
      </c>
      <c r="C30" s="5" t="s">
        <v>52</v>
      </c>
      <c r="D30" s="6" t="s">
        <v>11</v>
      </c>
      <c r="E30" s="6">
        <v>100</v>
      </c>
      <c r="F30" s="6">
        <v>80</v>
      </c>
      <c r="G30" s="6"/>
      <c r="H30" s="6"/>
      <c r="I30" s="8">
        <f>((E30-F30)/E30)*100</f>
        <v>20</v>
      </c>
      <c r="J30" s="6" t="s">
        <v>45</v>
      </c>
      <c r="K30" s="6" t="s">
        <v>20</v>
      </c>
      <c r="L30" s="6" t="s">
        <v>208</v>
      </c>
      <c r="M30" s="6" t="s">
        <v>172</v>
      </c>
    </row>
    <row r="31" spans="1:13" ht="15" thickBot="1">
      <c r="A31" s="39"/>
      <c r="B31" s="5" t="s">
        <v>44</v>
      </c>
      <c r="C31" s="5" t="s">
        <v>53</v>
      </c>
      <c r="D31" s="6" t="s">
        <v>11</v>
      </c>
      <c r="E31" s="6">
        <v>1000</v>
      </c>
      <c r="F31" s="6">
        <v>950</v>
      </c>
      <c r="G31" s="6">
        <v>800</v>
      </c>
      <c r="H31" s="6">
        <v>700</v>
      </c>
      <c r="I31" s="8">
        <f>((E31-H31)/E31)*100</f>
        <v>30</v>
      </c>
      <c r="J31" s="6" t="s">
        <v>45</v>
      </c>
      <c r="K31" s="6" t="s">
        <v>20</v>
      </c>
      <c r="L31" s="6" t="s">
        <v>55</v>
      </c>
      <c r="M31" s="6"/>
    </row>
    <row r="32" spans="1:13" ht="15" thickBot="1">
      <c r="A32" s="39"/>
      <c r="B32" s="5" t="s">
        <v>56</v>
      </c>
      <c r="C32" s="5" t="s">
        <v>57</v>
      </c>
      <c r="D32" s="6" t="s">
        <v>11</v>
      </c>
      <c r="E32" s="6">
        <v>150</v>
      </c>
      <c r="F32" s="6">
        <v>150</v>
      </c>
      <c r="G32" s="6">
        <v>150</v>
      </c>
      <c r="H32" s="6">
        <v>150</v>
      </c>
      <c r="I32" s="8">
        <f>((E32-H32)/E32)*100</f>
        <v>0</v>
      </c>
      <c r="J32" s="6" t="s">
        <v>45</v>
      </c>
      <c r="K32" s="6" t="s">
        <v>20</v>
      </c>
      <c r="L32" s="6" t="s">
        <v>27</v>
      </c>
      <c r="M32" s="6"/>
    </row>
    <row r="33" spans="1:13" ht="15" thickBot="1">
      <c r="A33" s="39"/>
      <c r="B33" s="31" t="s">
        <v>187</v>
      </c>
      <c r="C33" s="32"/>
      <c r="D33" s="12"/>
      <c r="E33" s="12"/>
      <c r="F33" s="12"/>
      <c r="G33" s="12"/>
      <c r="H33" s="12"/>
      <c r="I33" s="15">
        <f>AVERAGE(I29,I30,I31,I32)</f>
        <v>16.666666666666668</v>
      </c>
      <c r="J33" s="12"/>
      <c r="K33" s="12"/>
      <c r="L33" s="12"/>
      <c r="M33" s="14"/>
    </row>
    <row r="34" spans="1:13" ht="15" thickBot="1">
      <c r="A34" s="39"/>
      <c r="B34" s="28" t="s">
        <v>199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0"/>
    </row>
    <row r="35" spans="1:13" ht="15" thickBot="1">
      <c r="A35" s="39"/>
      <c r="B35" s="5" t="s">
        <v>61</v>
      </c>
      <c r="C35" s="5" t="s">
        <v>57</v>
      </c>
      <c r="D35" s="6" t="s">
        <v>11</v>
      </c>
      <c r="E35" s="6">
        <v>250</v>
      </c>
      <c r="F35" s="6">
        <v>250</v>
      </c>
      <c r="G35" s="6">
        <v>250</v>
      </c>
      <c r="H35" s="6">
        <v>250</v>
      </c>
      <c r="I35" s="8">
        <f t="shared" ref="I35:I38" si="3">((E35-F35)/E35)*100</f>
        <v>0</v>
      </c>
      <c r="J35" s="6" t="s">
        <v>45</v>
      </c>
      <c r="K35" s="6" t="s">
        <v>82</v>
      </c>
      <c r="L35" s="6" t="s">
        <v>27</v>
      </c>
      <c r="M35" s="6"/>
    </row>
    <row r="36" spans="1:13" ht="15" thickBot="1">
      <c r="A36" s="39"/>
      <c r="B36" s="5" t="s">
        <v>63</v>
      </c>
      <c r="C36" s="5" t="s">
        <v>57</v>
      </c>
      <c r="D36" s="6" t="s">
        <v>11</v>
      </c>
      <c r="E36" s="6">
        <v>100</v>
      </c>
      <c r="F36" s="6">
        <v>100</v>
      </c>
      <c r="G36" s="6">
        <v>100</v>
      </c>
      <c r="H36" s="6">
        <v>100</v>
      </c>
      <c r="I36" s="8">
        <f t="shared" si="3"/>
        <v>0</v>
      </c>
      <c r="J36" s="6" t="s">
        <v>45</v>
      </c>
      <c r="K36" s="6" t="s">
        <v>20</v>
      </c>
      <c r="L36" s="6" t="s">
        <v>23</v>
      </c>
      <c r="M36" s="6"/>
    </row>
    <row r="37" spans="1:13" ht="15" thickBot="1">
      <c r="A37" s="39"/>
      <c r="B37" s="5" t="s">
        <v>65</v>
      </c>
      <c r="C37" s="5" t="s">
        <v>57</v>
      </c>
      <c r="D37" s="6" t="s">
        <v>11</v>
      </c>
      <c r="E37" s="6">
        <v>150</v>
      </c>
      <c r="F37" s="6">
        <v>150</v>
      </c>
      <c r="G37" s="6">
        <v>100</v>
      </c>
      <c r="H37" s="6">
        <v>100</v>
      </c>
      <c r="I37" s="8">
        <f>((E37-H37)/E37)*100</f>
        <v>33.333333333333329</v>
      </c>
      <c r="J37" s="6" t="s">
        <v>45</v>
      </c>
      <c r="K37" s="6" t="s">
        <v>20</v>
      </c>
      <c r="L37" s="6" t="s">
        <v>23</v>
      </c>
      <c r="M37" s="6"/>
    </row>
    <row r="38" spans="1:13" ht="15" thickBot="1">
      <c r="A38" s="39"/>
      <c r="B38" s="5" t="s">
        <v>67</v>
      </c>
      <c r="C38" s="5" t="s">
        <v>57</v>
      </c>
      <c r="D38" s="6" t="s">
        <v>11</v>
      </c>
      <c r="E38" s="6">
        <v>300</v>
      </c>
      <c r="F38" s="6">
        <v>300</v>
      </c>
      <c r="G38" s="6">
        <v>300</v>
      </c>
      <c r="H38" s="6">
        <v>300</v>
      </c>
      <c r="I38" s="8">
        <f t="shared" si="3"/>
        <v>0</v>
      </c>
      <c r="J38" s="6" t="s">
        <v>45</v>
      </c>
      <c r="K38" s="6" t="s">
        <v>82</v>
      </c>
      <c r="L38" s="6" t="s">
        <v>27</v>
      </c>
      <c r="M38" s="6"/>
    </row>
    <row r="39" spans="1:13" ht="15" thickBot="1">
      <c r="A39" s="39"/>
      <c r="B39" s="5" t="s">
        <v>60</v>
      </c>
      <c r="C39" s="5" t="s">
        <v>95</v>
      </c>
      <c r="D39" s="6" t="s">
        <v>11</v>
      </c>
      <c r="E39" s="6">
        <v>150</v>
      </c>
      <c r="F39" s="6">
        <v>120</v>
      </c>
      <c r="G39" s="6">
        <v>100</v>
      </c>
      <c r="H39" s="6">
        <v>100</v>
      </c>
      <c r="I39" s="8">
        <f>((E39-H39)/E39)*100</f>
        <v>33.333333333333329</v>
      </c>
      <c r="J39" s="6" t="s">
        <v>45</v>
      </c>
      <c r="K39" s="6" t="s">
        <v>20</v>
      </c>
      <c r="L39" s="6" t="s">
        <v>26</v>
      </c>
      <c r="M39" s="6" t="s">
        <v>172</v>
      </c>
    </row>
    <row r="40" spans="1:13" ht="15" thickBot="1">
      <c r="A40" s="39"/>
      <c r="B40" s="31" t="s">
        <v>187</v>
      </c>
      <c r="C40" s="32"/>
      <c r="D40" s="12"/>
      <c r="E40" s="12"/>
      <c r="F40" s="12"/>
      <c r="G40" s="12"/>
      <c r="H40" s="12"/>
      <c r="I40" s="15">
        <f>AVERAGE(I36,I37,I38,I39)</f>
        <v>16.666666666666664</v>
      </c>
      <c r="J40" s="12"/>
      <c r="K40" s="12"/>
      <c r="L40" s="12"/>
      <c r="M40" s="14"/>
    </row>
    <row r="41" spans="1:13" ht="15" thickBot="1">
      <c r="A41" s="39"/>
      <c r="B41" s="28" t="s">
        <v>68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2" spans="1:13" ht="15" thickBot="1">
      <c r="A42" s="39"/>
      <c r="B42" s="5" t="s">
        <v>61</v>
      </c>
      <c r="C42" s="5" t="s">
        <v>69</v>
      </c>
      <c r="D42" s="6" t="s">
        <v>11</v>
      </c>
      <c r="E42" s="6">
        <v>600</v>
      </c>
      <c r="F42" s="6">
        <v>500</v>
      </c>
      <c r="G42" s="6">
        <v>500</v>
      </c>
      <c r="H42" s="6">
        <v>500</v>
      </c>
      <c r="I42" s="8">
        <f>((E42-F42)/E42)*100</f>
        <v>16.666666666666664</v>
      </c>
      <c r="J42" s="6" t="s">
        <v>45</v>
      </c>
      <c r="K42" s="6" t="s">
        <v>20</v>
      </c>
      <c r="L42" s="6" t="s">
        <v>26</v>
      </c>
      <c r="M42" s="6" t="s">
        <v>54</v>
      </c>
    </row>
    <row r="43" spans="1:13" ht="15" thickBot="1">
      <c r="A43" s="39"/>
      <c r="B43" s="5" t="s">
        <v>70</v>
      </c>
      <c r="C43" s="5" t="s">
        <v>69</v>
      </c>
      <c r="D43" s="6" t="s">
        <v>11</v>
      </c>
      <c r="E43" s="6">
        <v>1600</v>
      </c>
      <c r="F43" s="6">
        <v>1600</v>
      </c>
      <c r="G43" s="6">
        <v>1600</v>
      </c>
      <c r="H43" s="6">
        <v>1600</v>
      </c>
      <c r="I43" s="8">
        <f t="shared" ref="I43:I52" si="4">((E43-F43)/E43)*100</f>
        <v>0</v>
      </c>
      <c r="J43" s="6" t="s">
        <v>45</v>
      </c>
      <c r="K43" s="6" t="s">
        <v>20</v>
      </c>
      <c r="L43" s="6" t="s">
        <v>26</v>
      </c>
      <c r="M43" s="6"/>
    </row>
    <row r="44" spans="1:13" ht="15" thickBot="1">
      <c r="A44" s="39"/>
      <c r="B44" s="5" t="s">
        <v>71</v>
      </c>
      <c r="C44" s="5" t="s">
        <v>69</v>
      </c>
      <c r="D44" s="6" t="s">
        <v>11</v>
      </c>
      <c r="E44" s="6">
        <v>250</v>
      </c>
      <c r="F44" s="6">
        <v>250</v>
      </c>
      <c r="G44" s="6">
        <v>250</v>
      </c>
      <c r="H44" s="6">
        <v>250</v>
      </c>
      <c r="I44" s="8">
        <f t="shared" si="4"/>
        <v>0</v>
      </c>
      <c r="J44" s="6" t="s">
        <v>45</v>
      </c>
      <c r="K44" s="6" t="s">
        <v>20</v>
      </c>
      <c r="L44" s="6" t="s">
        <v>27</v>
      </c>
      <c r="M44" s="6"/>
    </row>
    <row r="45" spans="1:13" ht="15" thickBot="1">
      <c r="A45" s="39"/>
      <c r="B45" s="5" t="s">
        <v>72</v>
      </c>
      <c r="C45" s="5" t="s">
        <v>73</v>
      </c>
      <c r="D45" s="6" t="s">
        <v>11</v>
      </c>
      <c r="E45" s="6">
        <v>150</v>
      </c>
      <c r="F45" s="6">
        <v>150</v>
      </c>
      <c r="G45" s="6">
        <v>150</v>
      </c>
      <c r="H45" s="6">
        <v>150</v>
      </c>
      <c r="I45" s="8">
        <f t="shared" si="4"/>
        <v>0</v>
      </c>
      <c r="J45" s="6" t="s">
        <v>45</v>
      </c>
      <c r="K45" s="6" t="s">
        <v>20</v>
      </c>
      <c r="L45" s="6" t="s">
        <v>27</v>
      </c>
      <c r="M45" s="6"/>
    </row>
    <row r="46" spans="1:13" ht="15" thickBot="1">
      <c r="A46" s="39"/>
      <c r="B46" s="5" t="s">
        <v>74</v>
      </c>
      <c r="C46" s="5" t="s">
        <v>69</v>
      </c>
      <c r="D46" s="6" t="s">
        <v>11</v>
      </c>
      <c r="E46" s="6">
        <v>1500</v>
      </c>
      <c r="F46" s="6">
        <v>1500</v>
      </c>
      <c r="G46" s="6">
        <v>1500</v>
      </c>
      <c r="H46" s="6">
        <v>1500</v>
      </c>
      <c r="I46" s="8">
        <f t="shared" si="4"/>
        <v>0</v>
      </c>
      <c r="J46" s="6" t="s">
        <v>45</v>
      </c>
      <c r="K46" s="6" t="s">
        <v>20</v>
      </c>
      <c r="L46" s="6" t="s">
        <v>27</v>
      </c>
      <c r="M46" s="6"/>
    </row>
    <row r="47" spans="1:13" ht="15" thickBot="1">
      <c r="A47" s="39"/>
      <c r="B47" s="5" t="s">
        <v>47</v>
      </c>
      <c r="C47" s="5" t="s">
        <v>58</v>
      </c>
      <c r="D47" s="6" t="s">
        <v>11</v>
      </c>
      <c r="E47" s="6">
        <v>125</v>
      </c>
      <c r="F47" s="6">
        <v>125</v>
      </c>
      <c r="G47" s="6">
        <v>125</v>
      </c>
      <c r="H47" s="6">
        <v>125</v>
      </c>
      <c r="I47" s="8">
        <f t="shared" si="4"/>
        <v>0</v>
      </c>
      <c r="J47" s="6" t="s">
        <v>45</v>
      </c>
      <c r="K47" s="6" t="s">
        <v>20</v>
      </c>
      <c r="L47" s="6" t="s">
        <v>55</v>
      </c>
      <c r="M47" s="6"/>
    </row>
    <row r="48" spans="1:13" ht="15" thickBot="1">
      <c r="A48" s="39"/>
      <c r="B48" s="5" t="s">
        <v>89</v>
      </c>
      <c r="C48" s="5" t="s">
        <v>180</v>
      </c>
      <c r="D48" s="6" t="s">
        <v>11</v>
      </c>
      <c r="E48" s="6">
        <v>300</v>
      </c>
      <c r="F48" s="6">
        <v>300</v>
      </c>
      <c r="G48" s="6">
        <v>300</v>
      </c>
      <c r="H48" s="6">
        <v>300</v>
      </c>
      <c r="I48" s="8">
        <f>((E48-H48)/E48)*100</f>
        <v>0</v>
      </c>
      <c r="J48" s="6" t="s">
        <v>45</v>
      </c>
      <c r="K48" s="6" t="s">
        <v>20</v>
      </c>
      <c r="L48" s="6" t="s">
        <v>27</v>
      </c>
      <c r="M48" s="6"/>
    </row>
    <row r="49" spans="1:13" ht="15" thickBot="1">
      <c r="A49" s="39"/>
      <c r="B49" s="5" t="s">
        <v>39</v>
      </c>
      <c r="C49" s="5" t="s">
        <v>132</v>
      </c>
      <c r="D49" s="6" t="s">
        <v>11</v>
      </c>
      <c r="E49" s="6">
        <v>150</v>
      </c>
      <c r="F49" s="6">
        <v>150</v>
      </c>
      <c r="G49" s="6">
        <v>150</v>
      </c>
      <c r="H49" s="6">
        <v>150</v>
      </c>
      <c r="I49" s="8">
        <f t="shared" si="4"/>
        <v>0</v>
      </c>
      <c r="J49" s="6" t="s">
        <v>45</v>
      </c>
      <c r="K49" s="6" t="s">
        <v>20</v>
      </c>
      <c r="L49" s="6" t="s">
        <v>27</v>
      </c>
      <c r="M49" s="6"/>
    </row>
    <row r="50" spans="1:13" ht="15" thickBot="1">
      <c r="A50" s="39"/>
      <c r="B50" s="5" t="s">
        <v>135</v>
      </c>
      <c r="C50" s="5" t="s">
        <v>77</v>
      </c>
      <c r="D50" s="6" t="s">
        <v>11</v>
      </c>
      <c r="E50" s="6">
        <v>500</v>
      </c>
      <c r="F50" s="6">
        <v>300</v>
      </c>
      <c r="G50" s="6">
        <v>300</v>
      </c>
      <c r="H50" s="6">
        <v>300</v>
      </c>
      <c r="I50" s="8">
        <f t="shared" si="4"/>
        <v>40</v>
      </c>
      <c r="J50" s="6" t="s">
        <v>45</v>
      </c>
      <c r="K50" s="6" t="s">
        <v>20</v>
      </c>
      <c r="L50" s="6" t="s">
        <v>26</v>
      </c>
      <c r="M50" s="6"/>
    </row>
    <row r="51" spans="1:13" ht="15" thickBot="1">
      <c r="A51" s="39"/>
      <c r="B51" s="5" t="s">
        <v>133</v>
      </c>
      <c r="C51" s="5" t="s">
        <v>134</v>
      </c>
      <c r="D51" s="6" t="s">
        <v>11</v>
      </c>
      <c r="E51" s="6">
        <v>450</v>
      </c>
      <c r="F51" s="6">
        <v>450</v>
      </c>
      <c r="G51" s="6">
        <v>450</v>
      </c>
      <c r="H51" s="6">
        <v>450</v>
      </c>
      <c r="I51" s="8">
        <f>((E51-H51)/E51)*100</f>
        <v>0</v>
      </c>
      <c r="J51" s="6" t="s">
        <v>45</v>
      </c>
      <c r="K51" s="6" t="s">
        <v>20</v>
      </c>
      <c r="L51" s="6" t="s">
        <v>26</v>
      </c>
      <c r="M51" s="6"/>
    </row>
    <row r="52" spans="1:13" ht="15" thickBot="1">
      <c r="A52" s="39"/>
      <c r="B52" s="5" t="s">
        <v>136</v>
      </c>
      <c r="C52" s="5" t="s">
        <v>22</v>
      </c>
      <c r="D52" s="6" t="s">
        <v>11</v>
      </c>
      <c r="E52" s="6">
        <v>200</v>
      </c>
      <c r="F52" s="6">
        <v>200</v>
      </c>
      <c r="G52" s="6">
        <v>200</v>
      </c>
      <c r="H52" s="6">
        <v>200</v>
      </c>
      <c r="I52" s="8">
        <f t="shared" si="4"/>
        <v>0</v>
      </c>
      <c r="J52" s="6" t="s">
        <v>45</v>
      </c>
      <c r="K52" s="6" t="s">
        <v>28</v>
      </c>
      <c r="L52" s="6" t="s">
        <v>27</v>
      </c>
      <c r="M52" s="6"/>
    </row>
    <row r="53" spans="1:13" ht="15" thickBot="1">
      <c r="A53" s="39"/>
      <c r="B53" s="5" t="s">
        <v>137</v>
      </c>
      <c r="C53" s="5" t="s">
        <v>138</v>
      </c>
      <c r="D53" s="6" t="s">
        <v>11</v>
      </c>
      <c r="E53" s="6">
        <v>800</v>
      </c>
      <c r="F53" s="6">
        <v>800</v>
      </c>
      <c r="G53" s="6">
        <v>800</v>
      </c>
      <c r="H53" s="6">
        <v>800</v>
      </c>
      <c r="I53" s="8">
        <f>((E53-F53)/E53)*100</f>
        <v>0</v>
      </c>
      <c r="J53" s="6" t="s">
        <v>45</v>
      </c>
      <c r="K53" s="6" t="s">
        <v>20</v>
      </c>
      <c r="L53" s="6" t="s">
        <v>27</v>
      </c>
      <c r="M53" s="6"/>
    </row>
    <row r="54" spans="1:13" ht="15" thickBot="1">
      <c r="A54" s="39"/>
      <c r="B54" s="31" t="s">
        <v>187</v>
      </c>
      <c r="C54" s="32"/>
      <c r="D54" s="12"/>
      <c r="E54" s="12"/>
      <c r="F54" s="12"/>
      <c r="G54" s="12"/>
      <c r="H54" s="12"/>
      <c r="I54" s="15">
        <f>AVERAGE(I42,I43,I44,I45,I46,I47,I48,I49,I50,I51,I52,I53)</f>
        <v>4.7222222222222223</v>
      </c>
      <c r="J54" s="12"/>
      <c r="K54" s="12"/>
      <c r="L54" s="12"/>
      <c r="M54" s="14"/>
    </row>
    <row r="55" spans="1:13" ht="15" thickBot="1">
      <c r="A55" s="39"/>
      <c r="B55" s="28" t="s">
        <v>76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0"/>
    </row>
    <row r="56" spans="1:13" ht="15" thickBot="1">
      <c r="A56" s="39"/>
      <c r="B56" s="5" t="s">
        <v>79</v>
      </c>
      <c r="C56" s="5" t="s">
        <v>81</v>
      </c>
      <c r="D56" s="6" t="s">
        <v>11</v>
      </c>
      <c r="E56" s="6">
        <v>150</v>
      </c>
      <c r="F56" s="6">
        <v>150</v>
      </c>
      <c r="G56" s="6">
        <v>150</v>
      </c>
      <c r="H56" s="6">
        <v>150</v>
      </c>
      <c r="I56" s="8">
        <f t="shared" ref="I56:I59" si="5">((E56-F56)/E56)*100</f>
        <v>0</v>
      </c>
      <c r="J56" s="6" t="s">
        <v>45</v>
      </c>
      <c r="K56" s="6" t="s">
        <v>28</v>
      </c>
      <c r="L56" s="6" t="s">
        <v>27</v>
      </c>
      <c r="M56" s="6"/>
    </row>
    <row r="57" spans="1:13" ht="15" thickBot="1">
      <c r="A57" s="39"/>
      <c r="B57" s="5" t="s">
        <v>80</v>
      </c>
      <c r="C57" s="5" t="s">
        <v>81</v>
      </c>
      <c r="D57" s="6" t="s">
        <v>11</v>
      </c>
      <c r="E57" s="6">
        <v>250</v>
      </c>
      <c r="F57" s="6">
        <v>250</v>
      </c>
      <c r="G57" s="6">
        <v>250</v>
      </c>
      <c r="H57" s="6">
        <v>250</v>
      </c>
      <c r="I57" s="8">
        <f t="shared" si="5"/>
        <v>0</v>
      </c>
      <c r="J57" s="6" t="s">
        <v>45</v>
      </c>
      <c r="K57" s="6" t="s">
        <v>82</v>
      </c>
      <c r="L57" s="6" t="s">
        <v>27</v>
      </c>
      <c r="M57" s="6"/>
    </row>
    <row r="58" spans="1:13" ht="15" thickBot="1">
      <c r="A58" s="39"/>
      <c r="B58" s="5" t="s">
        <v>83</v>
      </c>
      <c r="C58" s="5" t="s">
        <v>84</v>
      </c>
      <c r="D58" s="6" t="s">
        <v>11</v>
      </c>
      <c r="E58" s="6">
        <f>4*15</f>
        <v>60</v>
      </c>
      <c r="F58" s="6">
        <v>60</v>
      </c>
      <c r="G58" s="6">
        <v>60</v>
      </c>
      <c r="H58" s="6">
        <v>60</v>
      </c>
      <c r="I58" s="8">
        <f t="shared" si="5"/>
        <v>0</v>
      </c>
      <c r="J58" s="6" t="s">
        <v>45</v>
      </c>
      <c r="K58" s="6" t="s">
        <v>28</v>
      </c>
      <c r="L58" s="6" t="s">
        <v>27</v>
      </c>
      <c r="M58" s="6"/>
    </row>
    <row r="59" spans="1:13" ht="15" thickBot="1">
      <c r="A59" s="39"/>
      <c r="B59" s="5" t="s">
        <v>85</v>
      </c>
      <c r="C59" s="5" t="s">
        <v>22</v>
      </c>
      <c r="D59" s="6" t="s">
        <v>11</v>
      </c>
      <c r="E59" s="6">
        <v>150</v>
      </c>
      <c r="F59" s="6">
        <v>150</v>
      </c>
      <c r="G59" s="6">
        <v>150</v>
      </c>
      <c r="H59" s="6">
        <v>150</v>
      </c>
      <c r="I59" s="8">
        <f t="shared" si="5"/>
        <v>0</v>
      </c>
      <c r="J59" s="6" t="s">
        <v>45</v>
      </c>
      <c r="K59" s="6" t="s">
        <v>28</v>
      </c>
      <c r="L59" s="6" t="s">
        <v>27</v>
      </c>
      <c r="M59" s="6"/>
    </row>
    <row r="60" spans="1:13" ht="15" thickBot="1">
      <c r="A60" s="39"/>
      <c r="B60" s="31" t="s">
        <v>187</v>
      </c>
      <c r="C60" s="32"/>
      <c r="D60" s="12"/>
      <c r="E60" s="12"/>
      <c r="F60" s="12"/>
      <c r="G60" s="12"/>
      <c r="H60" s="12"/>
      <c r="I60" s="15">
        <f>AVERAGE(I56+I57+I58+I59)</f>
        <v>0</v>
      </c>
      <c r="J60" s="12"/>
      <c r="K60" s="12"/>
      <c r="L60" s="12"/>
      <c r="M60" s="14"/>
    </row>
    <row r="61" spans="1:13" ht="15" thickBot="1">
      <c r="A61" s="39"/>
      <c r="B61" s="28" t="s">
        <v>86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30"/>
    </row>
    <row r="62" spans="1:13" ht="15" thickBot="1">
      <c r="A62" s="39"/>
      <c r="B62" s="5" t="s">
        <v>87</v>
      </c>
      <c r="C62" s="5" t="s">
        <v>88</v>
      </c>
      <c r="D62" s="6" t="s">
        <v>11</v>
      </c>
      <c r="E62" s="6">
        <v>200</v>
      </c>
      <c r="F62" s="6">
        <v>100</v>
      </c>
      <c r="G62" s="6">
        <v>100</v>
      </c>
      <c r="H62" s="6">
        <v>100</v>
      </c>
      <c r="I62" s="8">
        <f t="shared" ref="I62:I74" si="6">((E62-F62)/E62)*100</f>
        <v>50</v>
      </c>
      <c r="J62" s="6" t="s">
        <v>45</v>
      </c>
      <c r="K62" s="6" t="s">
        <v>20</v>
      </c>
      <c r="L62" s="6" t="s">
        <v>55</v>
      </c>
      <c r="M62" s="6" t="s">
        <v>175</v>
      </c>
    </row>
    <row r="63" spans="1:13" ht="15" thickBot="1">
      <c r="A63" s="39"/>
      <c r="B63" s="5" t="s">
        <v>89</v>
      </c>
      <c r="C63" s="5" t="s">
        <v>88</v>
      </c>
      <c r="D63" s="6" t="s">
        <v>11</v>
      </c>
      <c r="E63" s="6">
        <v>750</v>
      </c>
      <c r="F63" s="6">
        <v>750</v>
      </c>
      <c r="G63" s="6">
        <v>750</v>
      </c>
      <c r="H63" s="6">
        <v>750</v>
      </c>
      <c r="I63" s="8">
        <f t="shared" si="6"/>
        <v>0</v>
      </c>
      <c r="J63" s="6" t="s">
        <v>45</v>
      </c>
      <c r="K63" s="6" t="s">
        <v>9</v>
      </c>
      <c r="L63" s="6" t="s">
        <v>26</v>
      </c>
      <c r="M63" s="6"/>
    </row>
    <row r="64" spans="1:13" ht="15" thickBot="1">
      <c r="A64" s="39"/>
      <c r="B64" s="5" t="s">
        <v>90</v>
      </c>
      <c r="C64" s="5" t="s">
        <v>88</v>
      </c>
      <c r="D64" s="6" t="s">
        <v>11</v>
      </c>
      <c r="E64" s="6">
        <v>700</v>
      </c>
      <c r="F64" s="6">
        <v>650</v>
      </c>
      <c r="G64" s="6">
        <v>600</v>
      </c>
      <c r="H64" s="6">
        <v>600</v>
      </c>
      <c r="I64" s="8">
        <f>((E64-H64)/E64)*100</f>
        <v>14.285714285714285</v>
      </c>
      <c r="J64" s="6" t="s">
        <v>45</v>
      </c>
      <c r="K64" s="6" t="s">
        <v>9</v>
      </c>
      <c r="L64" s="6" t="s">
        <v>26</v>
      </c>
      <c r="M64" s="6" t="s">
        <v>211</v>
      </c>
    </row>
    <row r="65" spans="1:13" ht="15" thickBot="1">
      <c r="A65" s="39"/>
      <c r="B65" s="5" t="s">
        <v>91</v>
      </c>
      <c r="C65" s="5" t="s">
        <v>92</v>
      </c>
      <c r="D65" s="6" t="s">
        <v>11</v>
      </c>
      <c r="E65" s="6">
        <v>1200</v>
      </c>
      <c r="F65" s="6">
        <v>1100</v>
      </c>
      <c r="G65" s="6">
        <v>1000</v>
      </c>
      <c r="H65" s="6">
        <v>1000</v>
      </c>
      <c r="I65" s="8">
        <f t="shared" si="6"/>
        <v>8.3333333333333321</v>
      </c>
      <c r="J65" s="6" t="s">
        <v>45</v>
      </c>
      <c r="K65" s="6" t="s">
        <v>9</v>
      </c>
      <c r="L65" s="6" t="s">
        <v>26</v>
      </c>
      <c r="M65" s="6" t="s">
        <v>193</v>
      </c>
    </row>
    <row r="66" spans="1:13" ht="15" thickBot="1">
      <c r="A66" s="39"/>
      <c r="B66" s="5" t="s">
        <v>139</v>
      </c>
      <c r="C66" s="5" t="s">
        <v>140</v>
      </c>
      <c r="D66" s="6" t="s">
        <v>11</v>
      </c>
      <c r="E66" s="6">
        <v>500</v>
      </c>
      <c r="F66" s="6">
        <v>500</v>
      </c>
      <c r="G66" s="6">
        <v>450</v>
      </c>
      <c r="H66" s="6">
        <v>450</v>
      </c>
      <c r="I66" s="8">
        <f>((E66-H66)/E66)*100</f>
        <v>10</v>
      </c>
      <c r="J66" s="6" t="s">
        <v>45</v>
      </c>
      <c r="K66" s="6" t="s">
        <v>9</v>
      </c>
      <c r="L66" s="6" t="s">
        <v>26</v>
      </c>
      <c r="M66" s="6" t="s">
        <v>182</v>
      </c>
    </row>
    <row r="67" spans="1:13" ht="15" thickBot="1">
      <c r="A67" s="39"/>
      <c r="B67" s="5" t="s">
        <v>141</v>
      </c>
      <c r="C67" s="5" t="s">
        <v>92</v>
      </c>
      <c r="D67" s="6" t="s">
        <v>11</v>
      </c>
      <c r="E67" s="6">
        <v>150</v>
      </c>
      <c r="F67" s="6">
        <v>125</v>
      </c>
      <c r="G67" s="6">
        <v>100</v>
      </c>
      <c r="H67" s="6">
        <v>100</v>
      </c>
      <c r="I67" s="8">
        <f>((E67-H67)/E67)*100</f>
        <v>33.333333333333329</v>
      </c>
      <c r="J67" s="6" t="s">
        <v>45</v>
      </c>
      <c r="K67" s="6" t="s">
        <v>9</v>
      </c>
      <c r="L67" s="6" t="s">
        <v>26</v>
      </c>
      <c r="M67" s="6" t="s">
        <v>194</v>
      </c>
    </row>
    <row r="68" spans="1:13" ht="15" thickBot="1">
      <c r="A68" s="39"/>
      <c r="B68" s="5" t="s">
        <v>29</v>
      </c>
      <c r="C68" s="5" t="s">
        <v>92</v>
      </c>
      <c r="D68" s="6" t="s">
        <v>11</v>
      </c>
      <c r="E68" s="6">
        <v>80</v>
      </c>
      <c r="F68" s="6">
        <v>80</v>
      </c>
      <c r="G68" s="6">
        <v>80</v>
      </c>
      <c r="H68" s="6">
        <v>80</v>
      </c>
      <c r="I68" s="8">
        <f t="shared" si="6"/>
        <v>0</v>
      </c>
      <c r="J68" s="6" t="s">
        <v>45</v>
      </c>
      <c r="K68" s="6" t="s">
        <v>28</v>
      </c>
      <c r="L68" s="6" t="s">
        <v>27</v>
      </c>
      <c r="M68" s="6"/>
    </row>
    <row r="69" spans="1:13" ht="15" thickBot="1">
      <c r="A69" s="39"/>
      <c r="B69" s="5" t="s">
        <v>38</v>
      </c>
      <c r="C69" s="5" t="s">
        <v>142</v>
      </c>
      <c r="D69" s="6" t="s">
        <v>11</v>
      </c>
      <c r="E69" s="6">
        <v>350</v>
      </c>
      <c r="F69" s="6">
        <v>325</v>
      </c>
      <c r="G69" s="6">
        <v>300</v>
      </c>
      <c r="H69" s="6">
        <v>300</v>
      </c>
      <c r="I69" s="8">
        <f>((E69-H69)/E69)*100</f>
        <v>14.285714285714285</v>
      </c>
      <c r="J69" s="6" t="s">
        <v>45</v>
      </c>
      <c r="K69" s="6" t="s">
        <v>9</v>
      </c>
      <c r="L69" s="6" t="s">
        <v>26</v>
      </c>
      <c r="M69" s="6" t="s">
        <v>175</v>
      </c>
    </row>
    <row r="70" spans="1:13" ht="15" thickBot="1">
      <c r="A70" s="39"/>
      <c r="B70" s="5" t="s">
        <v>80</v>
      </c>
      <c r="C70" s="5" t="s">
        <v>57</v>
      </c>
      <c r="D70" s="6" t="s">
        <v>11</v>
      </c>
      <c r="E70" s="6">
        <v>1600</v>
      </c>
      <c r="F70" s="6">
        <v>1500</v>
      </c>
      <c r="G70" s="6">
        <v>1500</v>
      </c>
      <c r="H70" s="6">
        <v>1500</v>
      </c>
      <c r="I70" s="8">
        <f t="shared" si="6"/>
        <v>6.25</v>
      </c>
      <c r="J70" s="6" t="s">
        <v>45</v>
      </c>
      <c r="K70" s="6" t="s">
        <v>9</v>
      </c>
      <c r="L70" s="6" t="s">
        <v>26</v>
      </c>
      <c r="M70" s="6" t="s">
        <v>185</v>
      </c>
    </row>
    <row r="71" spans="1:13" ht="15" thickBot="1">
      <c r="A71" s="39"/>
      <c r="B71" s="5" t="s">
        <v>143</v>
      </c>
      <c r="C71" s="5" t="s">
        <v>92</v>
      </c>
      <c r="D71" s="6" t="s">
        <v>11</v>
      </c>
      <c r="E71" s="6">
        <v>2500</v>
      </c>
      <c r="F71" s="6">
        <v>2500</v>
      </c>
      <c r="G71" s="6">
        <v>2500</v>
      </c>
      <c r="H71" s="6">
        <v>2500</v>
      </c>
      <c r="I71" s="8">
        <f t="shared" si="6"/>
        <v>0</v>
      </c>
      <c r="J71" s="6" t="s">
        <v>45</v>
      </c>
      <c r="K71" s="6" t="s">
        <v>9</v>
      </c>
      <c r="L71" s="6" t="s">
        <v>26</v>
      </c>
      <c r="M71" s="6"/>
    </row>
    <row r="72" spans="1:13" ht="15" thickBot="1">
      <c r="A72" s="39"/>
      <c r="B72" s="5" t="s">
        <v>144</v>
      </c>
      <c r="C72" s="5" t="s">
        <v>145</v>
      </c>
      <c r="D72" s="6" t="s">
        <v>11</v>
      </c>
      <c r="E72" s="6">
        <v>650</v>
      </c>
      <c r="F72" s="6">
        <v>600</v>
      </c>
      <c r="G72" s="6">
        <v>600</v>
      </c>
      <c r="H72" s="6">
        <v>600</v>
      </c>
      <c r="I72" s="8">
        <f t="shared" si="6"/>
        <v>7.6923076923076925</v>
      </c>
      <c r="J72" s="6" t="s">
        <v>45</v>
      </c>
      <c r="K72" s="6" t="s">
        <v>9</v>
      </c>
      <c r="L72" s="6" t="s">
        <v>26</v>
      </c>
      <c r="M72" s="6" t="s">
        <v>172</v>
      </c>
    </row>
    <row r="73" spans="1:13" ht="15" thickBot="1">
      <c r="A73" s="39"/>
      <c r="B73" s="5" t="s">
        <v>146</v>
      </c>
      <c r="C73" s="5" t="s">
        <v>92</v>
      </c>
      <c r="D73" s="6" t="s">
        <v>11</v>
      </c>
      <c r="E73" s="6">
        <v>2000</v>
      </c>
      <c r="F73" s="6">
        <v>2000</v>
      </c>
      <c r="G73" s="6">
        <v>2000</v>
      </c>
      <c r="H73" s="6">
        <v>2000</v>
      </c>
      <c r="I73" s="8">
        <f t="shared" si="6"/>
        <v>0</v>
      </c>
      <c r="J73" s="6" t="s">
        <v>45</v>
      </c>
      <c r="K73" s="6" t="s">
        <v>9</v>
      </c>
      <c r="L73" s="6" t="s">
        <v>26</v>
      </c>
      <c r="M73" s="6"/>
    </row>
    <row r="74" spans="1:13" ht="15" thickBot="1">
      <c r="A74" s="39"/>
      <c r="B74" s="5" t="s">
        <v>147</v>
      </c>
      <c r="C74" s="5" t="s">
        <v>138</v>
      </c>
      <c r="D74" s="6" t="s">
        <v>11</v>
      </c>
      <c r="E74" s="6">
        <v>800</v>
      </c>
      <c r="F74" s="6">
        <v>800</v>
      </c>
      <c r="G74" s="6">
        <v>800</v>
      </c>
      <c r="H74" s="6">
        <v>800</v>
      </c>
      <c r="I74" s="8">
        <f t="shared" si="6"/>
        <v>0</v>
      </c>
      <c r="J74" s="6" t="s">
        <v>45</v>
      </c>
      <c r="K74" s="6" t="s">
        <v>9</v>
      </c>
      <c r="L74" s="6" t="s">
        <v>26</v>
      </c>
      <c r="M74" s="6"/>
    </row>
    <row r="75" spans="1:13" ht="15" thickBot="1">
      <c r="A75" s="39"/>
      <c r="B75" s="31" t="s">
        <v>187</v>
      </c>
      <c r="C75" s="32"/>
      <c r="D75" s="12"/>
      <c r="E75" s="12"/>
      <c r="F75" s="12"/>
      <c r="G75" s="12"/>
      <c r="H75" s="12"/>
      <c r="I75" s="15">
        <f>AVERAGE(I62,I63,I64,I65,I66,I67,I68,I69,I70,I71,I72,I73,I74)</f>
        <v>11.090800225415608</v>
      </c>
      <c r="J75" s="12"/>
      <c r="K75" s="12"/>
      <c r="L75" s="12"/>
      <c r="M75" s="14"/>
    </row>
    <row r="76" spans="1:13" ht="15" thickBot="1">
      <c r="A76" s="39"/>
      <c r="B76" s="28" t="s">
        <v>93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30"/>
    </row>
    <row r="77" spans="1:13" ht="15" thickBot="1">
      <c r="A77" s="39"/>
      <c r="B77" s="5" t="s">
        <v>94</v>
      </c>
      <c r="C77" s="5" t="s">
        <v>95</v>
      </c>
      <c r="D77" s="6" t="s">
        <v>11</v>
      </c>
      <c r="E77" s="6">
        <v>1000</v>
      </c>
      <c r="F77" s="6">
        <v>1000</v>
      </c>
      <c r="G77" s="6">
        <v>1000</v>
      </c>
      <c r="H77" s="6">
        <v>1000</v>
      </c>
      <c r="I77" s="8">
        <f t="shared" ref="I77:I80" si="7">((E77-F77)/E77)*100</f>
        <v>0</v>
      </c>
      <c r="J77" s="6" t="s">
        <v>45</v>
      </c>
      <c r="K77" s="6" t="s">
        <v>9</v>
      </c>
      <c r="L77" s="6" t="s">
        <v>17</v>
      </c>
      <c r="M77" s="6"/>
    </row>
    <row r="78" spans="1:13" ht="15" thickBot="1">
      <c r="A78" s="39"/>
      <c r="B78" s="5" t="s">
        <v>96</v>
      </c>
      <c r="C78" s="27" t="s">
        <v>25</v>
      </c>
      <c r="D78" s="6" t="s">
        <v>11</v>
      </c>
      <c r="E78" s="6">
        <v>350</v>
      </c>
      <c r="F78" s="6">
        <v>350</v>
      </c>
      <c r="G78" s="6">
        <v>350</v>
      </c>
      <c r="H78" s="6">
        <v>350</v>
      </c>
      <c r="I78" s="8">
        <f t="shared" si="7"/>
        <v>0</v>
      </c>
      <c r="J78" s="6" t="s">
        <v>45</v>
      </c>
      <c r="K78" s="6" t="s">
        <v>9</v>
      </c>
      <c r="L78" s="6" t="s">
        <v>26</v>
      </c>
      <c r="M78" s="6"/>
    </row>
    <row r="79" spans="1:13" ht="15" thickBot="1">
      <c r="A79" s="39"/>
      <c r="B79" s="5" t="s">
        <v>97</v>
      </c>
      <c r="C79" s="27" t="s">
        <v>25</v>
      </c>
      <c r="D79" s="6" t="s">
        <v>11</v>
      </c>
      <c r="E79" s="6">
        <v>300</v>
      </c>
      <c r="F79" s="6">
        <v>300</v>
      </c>
      <c r="G79" s="6">
        <v>300</v>
      </c>
      <c r="H79" s="6">
        <v>300</v>
      </c>
      <c r="I79" s="8">
        <f t="shared" si="7"/>
        <v>0</v>
      </c>
      <c r="J79" s="6" t="s">
        <v>45</v>
      </c>
      <c r="K79" s="6" t="s">
        <v>9</v>
      </c>
      <c r="L79" s="6" t="s">
        <v>26</v>
      </c>
      <c r="M79" s="6"/>
    </row>
    <row r="80" spans="1:13" ht="15" thickBot="1">
      <c r="A80" s="39"/>
      <c r="B80" s="5" t="s">
        <v>130</v>
      </c>
      <c r="C80" s="27" t="s">
        <v>25</v>
      </c>
      <c r="D80" s="6" t="s">
        <v>11</v>
      </c>
      <c r="E80" s="6">
        <v>400</v>
      </c>
      <c r="F80" s="6">
        <v>350</v>
      </c>
      <c r="G80" s="6">
        <v>350</v>
      </c>
      <c r="H80" s="6">
        <v>350</v>
      </c>
      <c r="I80" s="8">
        <f t="shared" si="7"/>
        <v>12.5</v>
      </c>
      <c r="J80" s="6" t="s">
        <v>45</v>
      </c>
      <c r="K80" s="6" t="s">
        <v>9</v>
      </c>
      <c r="L80" s="6" t="s">
        <v>26</v>
      </c>
      <c r="M80" s="6" t="s">
        <v>212</v>
      </c>
    </row>
    <row r="81" spans="1:13" ht="15" thickBot="1">
      <c r="A81" s="39"/>
      <c r="B81" s="10" t="s">
        <v>187</v>
      </c>
      <c r="C81" s="11"/>
      <c r="D81" s="12"/>
      <c r="E81" s="12"/>
      <c r="F81" s="12"/>
      <c r="G81" s="12"/>
      <c r="H81" s="12"/>
      <c r="I81" s="15">
        <f>AVERAGE(I77,I78,I79,I80)</f>
        <v>3.125</v>
      </c>
      <c r="J81" s="12"/>
      <c r="K81" s="12"/>
      <c r="L81" s="12"/>
      <c r="M81" s="14"/>
    </row>
    <row r="82" spans="1:13" ht="15" thickBot="1">
      <c r="A82" s="18"/>
      <c r="B82" s="19" t="s">
        <v>204</v>
      </c>
      <c r="C82" s="20"/>
      <c r="D82" s="21"/>
      <c r="E82" s="21"/>
      <c r="F82" s="21"/>
      <c r="G82" s="21"/>
      <c r="H82" s="21"/>
      <c r="I82" s="22">
        <f>AVERAGE(I81,I75,I60,I54,I40,I33)</f>
        <v>8.7118926301618611</v>
      </c>
      <c r="J82" s="21"/>
      <c r="K82" s="21"/>
      <c r="L82" s="21"/>
      <c r="M82" s="23"/>
    </row>
    <row r="83" spans="1:13" ht="15" thickBot="1">
      <c r="A83" s="33" t="s">
        <v>201</v>
      </c>
      <c r="B83" s="28" t="s">
        <v>131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30"/>
    </row>
    <row r="84" spans="1:13" ht="15" thickBot="1">
      <c r="A84" s="33"/>
      <c r="B84" s="5" t="s">
        <v>99</v>
      </c>
      <c r="C84" s="5" t="s">
        <v>100</v>
      </c>
      <c r="D84" s="6" t="s">
        <v>11</v>
      </c>
      <c r="E84" s="6">
        <v>85</v>
      </c>
      <c r="F84" s="6">
        <v>85</v>
      </c>
      <c r="G84" s="6">
        <v>85</v>
      </c>
      <c r="H84" s="6">
        <v>85</v>
      </c>
      <c r="I84" s="8">
        <f t="shared" ref="I84:I88" si="8">((E84-F84)/E84)*100</f>
        <v>0</v>
      </c>
      <c r="J84" s="6" t="s">
        <v>45</v>
      </c>
      <c r="K84" s="6" t="s">
        <v>28</v>
      </c>
      <c r="L84" s="6" t="s">
        <v>27</v>
      </c>
      <c r="M84" s="6"/>
    </row>
    <row r="85" spans="1:13" ht="15" thickBot="1">
      <c r="A85" s="33"/>
      <c r="B85" s="5" t="s">
        <v>80</v>
      </c>
      <c r="C85" s="5" t="s">
        <v>95</v>
      </c>
      <c r="D85" s="6" t="s">
        <v>11</v>
      </c>
      <c r="E85" s="6">
        <v>250</v>
      </c>
      <c r="F85" s="6">
        <v>250</v>
      </c>
      <c r="G85" s="6">
        <v>250</v>
      </c>
      <c r="H85" s="6">
        <v>250</v>
      </c>
      <c r="I85" s="8">
        <f t="shared" si="8"/>
        <v>0</v>
      </c>
      <c r="J85" s="6" t="s">
        <v>45</v>
      </c>
      <c r="K85" s="6" t="s">
        <v>20</v>
      </c>
      <c r="L85" s="6" t="s">
        <v>26</v>
      </c>
      <c r="M85" s="6"/>
    </row>
    <row r="86" spans="1:13" ht="15" thickBot="1">
      <c r="A86" s="33"/>
      <c r="B86" s="5" t="s">
        <v>78</v>
      </c>
      <c r="C86" s="5" t="s">
        <v>101</v>
      </c>
      <c r="D86" s="6" t="s">
        <v>11</v>
      </c>
      <c r="E86" s="6">
        <v>75</v>
      </c>
      <c r="F86" s="6">
        <v>75</v>
      </c>
      <c r="G86" s="6">
        <v>75</v>
      </c>
      <c r="H86" s="6">
        <v>75</v>
      </c>
      <c r="I86" s="8">
        <f t="shared" si="8"/>
        <v>0</v>
      </c>
      <c r="J86" s="6" t="s">
        <v>45</v>
      </c>
      <c r="K86" s="6" t="s">
        <v>20</v>
      </c>
      <c r="L86" s="6" t="s">
        <v>26</v>
      </c>
      <c r="M86" s="6"/>
    </row>
    <row r="87" spans="1:13" ht="15" thickBot="1">
      <c r="A87" s="33"/>
      <c r="B87" s="5" t="s">
        <v>102</v>
      </c>
      <c r="C87" s="5" t="s">
        <v>103</v>
      </c>
      <c r="D87" s="6" t="s">
        <v>11</v>
      </c>
      <c r="E87" s="6">
        <v>125</v>
      </c>
      <c r="F87" s="6">
        <v>100</v>
      </c>
      <c r="G87" s="6">
        <v>100</v>
      </c>
      <c r="H87" s="6">
        <v>100</v>
      </c>
      <c r="I87" s="8">
        <f t="shared" si="8"/>
        <v>20</v>
      </c>
      <c r="J87" s="6" t="s">
        <v>45</v>
      </c>
      <c r="K87" s="6" t="s">
        <v>20</v>
      </c>
      <c r="L87" s="6" t="s">
        <v>26</v>
      </c>
      <c r="M87" s="6" t="s">
        <v>175</v>
      </c>
    </row>
    <row r="88" spans="1:13" ht="15" thickBot="1">
      <c r="A88" s="33"/>
      <c r="B88" s="5" t="s">
        <v>104</v>
      </c>
      <c r="C88" s="5" t="s">
        <v>101</v>
      </c>
      <c r="D88" s="6" t="s">
        <v>11</v>
      </c>
      <c r="E88" s="6">
        <v>200</v>
      </c>
      <c r="F88" s="6">
        <v>200</v>
      </c>
      <c r="G88" s="6">
        <v>200</v>
      </c>
      <c r="H88" s="6">
        <v>200</v>
      </c>
      <c r="I88" s="8">
        <f t="shared" si="8"/>
        <v>0</v>
      </c>
      <c r="J88" s="6" t="s">
        <v>45</v>
      </c>
      <c r="K88" s="6" t="s">
        <v>20</v>
      </c>
      <c r="L88" s="6" t="s">
        <v>23</v>
      </c>
      <c r="M88" s="6"/>
    </row>
    <row r="89" spans="1:13" ht="15" thickBot="1">
      <c r="A89" s="33"/>
      <c r="B89" s="31" t="s">
        <v>187</v>
      </c>
      <c r="C89" s="32"/>
      <c r="D89" s="12"/>
      <c r="E89" s="12"/>
      <c r="F89" s="12"/>
      <c r="G89" s="12"/>
      <c r="H89" s="12"/>
      <c r="I89" s="15">
        <f>AVERAGE(I84+I85,I86,I87,I88)</f>
        <v>5</v>
      </c>
      <c r="J89" s="12"/>
      <c r="K89" s="12"/>
      <c r="L89" s="12"/>
      <c r="M89" s="14"/>
    </row>
    <row r="90" spans="1:13" ht="15" thickBot="1">
      <c r="A90" s="33"/>
      <c r="B90" s="28" t="s">
        <v>98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30"/>
    </row>
    <row r="91" spans="1:13" ht="15" thickBot="1">
      <c r="A91" s="33"/>
      <c r="B91" s="5" t="s">
        <v>105</v>
      </c>
      <c r="C91" s="5" t="s">
        <v>57</v>
      </c>
      <c r="D91" s="6" t="s">
        <v>11</v>
      </c>
      <c r="E91" s="6">
        <v>100</v>
      </c>
      <c r="F91" s="6">
        <v>100</v>
      </c>
      <c r="G91" s="6">
        <v>100</v>
      </c>
      <c r="H91" s="6">
        <v>100</v>
      </c>
      <c r="I91" s="8">
        <f t="shared" ref="I91:I96" si="9">((E91-F91)/E91)*100</f>
        <v>0</v>
      </c>
      <c r="J91" s="6" t="s">
        <v>45</v>
      </c>
      <c r="K91" s="6" t="s">
        <v>28</v>
      </c>
      <c r="L91" s="6" t="s">
        <v>43</v>
      </c>
      <c r="M91" s="6"/>
    </row>
    <row r="92" spans="1:13" ht="15" thickBot="1">
      <c r="A92" s="33"/>
      <c r="B92" s="5" t="s">
        <v>107</v>
      </c>
      <c r="C92" s="5" t="s">
        <v>57</v>
      </c>
      <c r="D92" s="6" t="s">
        <v>11</v>
      </c>
      <c r="E92" s="6">
        <v>100</v>
      </c>
      <c r="F92" s="6">
        <v>100</v>
      </c>
      <c r="G92" s="6">
        <v>75</v>
      </c>
      <c r="H92" s="6">
        <v>75</v>
      </c>
      <c r="I92" s="8">
        <f>((E92-H92)/E92)*100</f>
        <v>25</v>
      </c>
      <c r="J92" s="6" t="s">
        <v>45</v>
      </c>
      <c r="K92" s="6" t="s">
        <v>20</v>
      </c>
      <c r="L92" s="6" t="s">
        <v>55</v>
      </c>
      <c r="M92" s="6" t="s">
        <v>213</v>
      </c>
    </row>
    <row r="93" spans="1:13" ht="15" thickBot="1">
      <c r="A93" s="33"/>
      <c r="B93" s="5" t="s">
        <v>90</v>
      </c>
      <c r="C93" s="5" t="s">
        <v>109</v>
      </c>
      <c r="D93" s="6" t="s">
        <v>11</v>
      </c>
      <c r="E93" s="6">
        <v>150</v>
      </c>
      <c r="F93" s="6">
        <v>150</v>
      </c>
      <c r="G93" s="6">
        <v>150</v>
      </c>
      <c r="H93" s="6">
        <v>150</v>
      </c>
      <c r="I93" s="8">
        <f t="shared" si="9"/>
        <v>0</v>
      </c>
      <c r="J93" s="6" t="s">
        <v>45</v>
      </c>
      <c r="K93" s="6" t="s">
        <v>20</v>
      </c>
      <c r="L93" s="6" t="s">
        <v>17</v>
      </c>
      <c r="M93" s="6"/>
    </row>
    <row r="94" spans="1:13" ht="15" thickBot="1">
      <c r="A94" s="33"/>
      <c r="B94" s="5" t="s">
        <v>89</v>
      </c>
      <c r="C94" s="5" t="s">
        <v>111</v>
      </c>
      <c r="D94" s="6" t="s">
        <v>11</v>
      </c>
      <c r="E94" s="6">
        <v>200</v>
      </c>
      <c r="F94" s="6">
        <v>150</v>
      </c>
      <c r="G94" s="6">
        <v>150</v>
      </c>
      <c r="H94" s="6">
        <v>150</v>
      </c>
      <c r="I94" s="8">
        <f>((E94-F94)/E94)*100</f>
        <v>25</v>
      </c>
      <c r="J94" s="6" t="s">
        <v>45</v>
      </c>
      <c r="K94" s="6" t="s">
        <v>20</v>
      </c>
      <c r="L94" s="6" t="s">
        <v>26</v>
      </c>
      <c r="M94" s="6" t="s">
        <v>185</v>
      </c>
    </row>
    <row r="95" spans="1:13" ht="15" thickBot="1">
      <c r="A95" s="33"/>
      <c r="B95" s="5" t="s">
        <v>112</v>
      </c>
      <c r="C95" s="5" t="s">
        <v>113</v>
      </c>
      <c r="D95" s="6" t="s">
        <v>11</v>
      </c>
      <c r="E95" s="6">
        <v>200</v>
      </c>
      <c r="F95" s="6">
        <v>200</v>
      </c>
      <c r="G95" s="6">
        <v>200</v>
      </c>
      <c r="H95" s="6">
        <v>200</v>
      </c>
      <c r="I95" s="8">
        <f t="shared" si="9"/>
        <v>0</v>
      </c>
      <c r="J95" s="6" t="s">
        <v>45</v>
      </c>
      <c r="K95" s="6" t="s">
        <v>20</v>
      </c>
      <c r="L95" s="6" t="s">
        <v>26</v>
      </c>
      <c r="M95" s="6"/>
    </row>
    <row r="96" spans="1:13" ht="15" thickBot="1">
      <c r="A96" s="33"/>
      <c r="B96" s="5" t="s">
        <v>99</v>
      </c>
      <c r="C96" s="5" t="s">
        <v>114</v>
      </c>
      <c r="D96" s="6" t="s">
        <v>11</v>
      </c>
      <c r="E96" s="6">
        <v>300</v>
      </c>
      <c r="F96" s="6">
        <v>300</v>
      </c>
      <c r="G96" s="6">
        <v>300</v>
      </c>
      <c r="H96" s="6">
        <v>300</v>
      </c>
      <c r="I96" s="8">
        <f t="shared" si="9"/>
        <v>0</v>
      </c>
      <c r="J96" s="6" t="s">
        <v>45</v>
      </c>
      <c r="K96" s="6" t="s">
        <v>20</v>
      </c>
      <c r="L96" s="6" t="s">
        <v>17</v>
      </c>
      <c r="M96" s="6"/>
    </row>
    <row r="97" spans="1:13" ht="15" thickBot="1">
      <c r="A97" s="33"/>
      <c r="B97" s="31" t="s">
        <v>187</v>
      </c>
      <c r="C97" s="32"/>
      <c r="D97" s="12"/>
      <c r="E97" s="12"/>
      <c r="F97" s="12"/>
      <c r="G97" s="12"/>
      <c r="H97" s="12"/>
      <c r="I97" s="15">
        <f>AVERAGE(I91,I92+I93,I94,I95,I96)</f>
        <v>10</v>
      </c>
      <c r="J97" s="12"/>
      <c r="K97" s="12"/>
      <c r="L97" s="12"/>
      <c r="M97" s="14"/>
    </row>
    <row r="98" spans="1:13" ht="15" thickBot="1">
      <c r="A98" s="33"/>
      <c r="B98" s="28" t="s">
        <v>116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30"/>
    </row>
    <row r="99" spans="1:13" ht="15" thickBot="1">
      <c r="A99" s="33"/>
      <c r="B99" s="5" t="s">
        <v>32</v>
      </c>
      <c r="C99" s="5" t="s">
        <v>117</v>
      </c>
      <c r="D99" s="6" t="s">
        <v>11</v>
      </c>
      <c r="E99" s="6">
        <v>500</v>
      </c>
      <c r="F99" s="6">
        <v>500</v>
      </c>
      <c r="G99" s="6">
        <v>500</v>
      </c>
      <c r="H99" s="6">
        <v>500</v>
      </c>
      <c r="I99" s="8">
        <f t="shared" ref="I99:I110" si="10">((E99-F99)/E99)*100</f>
        <v>0</v>
      </c>
      <c r="J99" s="6" t="s">
        <v>45</v>
      </c>
      <c r="K99" s="6" t="s">
        <v>82</v>
      </c>
      <c r="L99" s="6" t="s">
        <v>43</v>
      </c>
      <c r="M99" s="6"/>
    </row>
    <row r="100" spans="1:13" ht="15" thickBot="1">
      <c r="A100" s="33"/>
      <c r="B100" s="5" t="s">
        <v>137</v>
      </c>
      <c r="C100" s="5" t="s">
        <v>35</v>
      </c>
      <c r="D100" s="6" t="s">
        <v>11</v>
      </c>
      <c r="E100" s="6">
        <v>300</v>
      </c>
      <c r="F100" s="6">
        <v>300</v>
      </c>
      <c r="G100" s="6">
        <v>300</v>
      </c>
      <c r="H100" s="6">
        <v>300</v>
      </c>
      <c r="I100" s="8">
        <f t="shared" si="10"/>
        <v>0</v>
      </c>
      <c r="J100" s="6" t="s">
        <v>45</v>
      </c>
      <c r="K100" s="6" t="s">
        <v>28</v>
      </c>
      <c r="L100" s="6" t="s">
        <v>27</v>
      </c>
      <c r="M100" s="6"/>
    </row>
    <row r="101" spans="1:13" ht="15" thickBot="1">
      <c r="A101" s="33"/>
      <c r="B101" s="5" t="s">
        <v>49</v>
      </c>
      <c r="C101" s="5" t="s">
        <v>119</v>
      </c>
      <c r="D101" s="6" t="s">
        <v>11</v>
      </c>
      <c r="E101" s="6">
        <v>150</v>
      </c>
      <c r="F101" s="6">
        <v>150</v>
      </c>
      <c r="G101" s="6">
        <v>150</v>
      </c>
      <c r="H101" s="6">
        <v>150</v>
      </c>
      <c r="I101" s="8">
        <f t="shared" si="10"/>
        <v>0</v>
      </c>
      <c r="J101" s="6" t="s">
        <v>45</v>
      </c>
      <c r="K101" s="6" t="s">
        <v>28</v>
      </c>
      <c r="L101" s="6" t="s">
        <v>27</v>
      </c>
      <c r="M101" s="6"/>
    </row>
    <row r="102" spans="1:13" ht="15" thickBot="1">
      <c r="A102" s="33"/>
      <c r="B102" s="5" t="s">
        <v>120</v>
      </c>
      <c r="C102" s="5" t="s">
        <v>121</v>
      </c>
      <c r="D102" s="6" t="s">
        <v>11</v>
      </c>
      <c r="E102" s="6">
        <v>300</v>
      </c>
      <c r="F102" s="6">
        <v>200</v>
      </c>
      <c r="G102" s="6">
        <v>200</v>
      </c>
      <c r="H102" s="6">
        <v>200</v>
      </c>
      <c r="I102" s="8">
        <f t="shared" si="10"/>
        <v>33.333333333333329</v>
      </c>
      <c r="J102" s="6" t="s">
        <v>45</v>
      </c>
      <c r="K102" s="6" t="s">
        <v>20</v>
      </c>
      <c r="L102" s="6" t="s">
        <v>26</v>
      </c>
      <c r="M102" s="6" t="s">
        <v>185</v>
      </c>
    </row>
    <row r="103" spans="1:13" ht="15" thickBot="1">
      <c r="A103" s="33"/>
      <c r="B103" s="5" t="s">
        <v>115</v>
      </c>
      <c r="C103" s="5" t="s">
        <v>42</v>
      </c>
      <c r="D103" s="6" t="s">
        <v>11</v>
      </c>
      <c r="E103" s="6">
        <v>300</v>
      </c>
      <c r="F103" s="6">
        <v>300</v>
      </c>
      <c r="G103" s="6">
        <v>300</v>
      </c>
      <c r="H103" s="6">
        <v>300</v>
      </c>
      <c r="I103" s="8">
        <f t="shared" si="10"/>
        <v>0</v>
      </c>
      <c r="J103" s="6" t="s">
        <v>45</v>
      </c>
      <c r="K103" s="6" t="s">
        <v>62</v>
      </c>
      <c r="L103" s="6" t="s">
        <v>27</v>
      </c>
      <c r="M103" s="6"/>
    </row>
    <row r="104" spans="1:13" ht="15" thickBot="1">
      <c r="A104" s="33"/>
      <c r="B104" s="5" t="s">
        <v>44</v>
      </c>
      <c r="C104" s="5" t="s">
        <v>114</v>
      </c>
      <c r="D104" s="6" t="s">
        <v>11</v>
      </c>
      <c r="E104" s="6">
        <v>100</v>
      </c>
      <c r="F104" s="6">
        <v>100</v>
      </c>
      <c r="G104" s="6">
        <v>100</v>
      </c>
      <c r="H104" s="6">
        <v>100</v>
      </c>
      <c r="I104" s="8">
        <f t="shared" si="10"/>
        <v>0</v>
      </c>
      <c r="J104" s="6" t="s">
        <v>45</v>
      </c>
      <c r="K104" s="6" t="s">
        <v>82</v>
      </c>
      <c r="L104" s="6" t="s">
        <v>26</v>
      </c>
      <c r="M104" s="6"/>
    </row>
    <row r="105" spans="1:13" ht="15" thickBot="1">
      <c r="A105" s="33"/>
      <c r="B105" s="5" t="s">
        <v>148</v>
      </c>
      <c r="C105" s="5" t="s">
        <v>149</v>
      </c>
      <c r="D105" s="6" t="s">
        <v>11</v>
      </c>
      <c r="E105" s="6">
        <v>450</v>
      </c>
      <c r="F105" s="6">
        <v>400</v>
      </c>
      <c r="G105" s="6">
        <v>420</v>
      </c>
      <c r="H105" s="6">
        <v>420</v>
      </c>
      <c r="I105" s="8">
        <f>((E105-H105)/E105)*100</f>
        <v>6.666666666666667</v>
      </c>
      <c r="J105" s="6" t="s">
        <v>45</v>
      </c>
      <c r="K105" s="6" t="s">
        <v>20</v>
      </c>
      <c r="L105" s="6" t="s">
        <v>26</v>
      </c>
      <c r="M105" s="6" t="s">
        <v>175</v>
      </c>
    </row>
    <row r="106" spans="1:13" ht="15" thickBot="1">
      <c r="A106" s="33"/>
      <c r="B106" s="5" t="s">
        <v>150</v>
      </c>
      <c r="C106" s="5" t="s">
        <v>151</v>
      </c>
      <c r="D106" s="6" t="s">
        <v>11</v>
      </c>
      <c r="E106" s="6">
        <v>1600</v>
      </c>
      <c r="F106" s="6">
        <v>1600</v>
      </c>
      <c r="G106" s="6">
        <v>1600</v>
      </c>
      <c r="H106" s="6">
        <v>1600</v>
      </c>
      <c r="I106" s="8">
        <f t="shared" si="10"/>
        <v>0</v>
      </c>
      <c r="J106" s="6" t="s">
        <v>45</v>
      </c>
      <c r="K106" s="6" t="s">
        <v>20</v>
      </c>
      <c r="L106" s="6" t="s">
        <v>27</v>
      </c>
      <c r="M106" s="6"/>
    </row>
    <row r="107" spans="1:13" ht="15" thickBot="1">
      <c r="A107" s="33"/>
      <c r="B107" s="5" t="s">
        <v>152</v>
      </c>
      <c r="C107" s="5" t="s">
        <v>57</v>
      </c>
      <c r="D107" s="6" t="s">
        <v>11</v>
      </c>
      <c r="E107" s="6">
        <v>1200</v>
      </c>
      <c r="F107" s="6">
        <v>1200</v>
      </c>
      <c r="G107" s="6">
        <v>1200</v>
      </c>
      <c r="H107" s="6">
        <v>1200</v>
      </c>
      <c r="I107" s="8">
        <f t="shared" si="10"/>
        <v>0</v>
      </c>
      <c r="J107" s="6" t="s">
        <v>45</v>
      </c>
      <c r="K107" s="6" t="s">
        <v>20</v>
      </c>
      <c r="L107" s="6" t="s">
        <v>27</v>
      </c>
      <c r="M107" s="6"/>
    </row>
    <row r="108" spans="1:13" ht="15" thickBot="1">
      <c r="A108" s="33"/>
      <c r="B108" s="5" t="s">
        <v>104</v>
      </c>
      <c r="C108" s="5" t="s">
        <v>119</v>
      </c>
      <c r="D108" s="6" t="s">
        <v>11</v>
      </c>
      <c r="E108" s="6">
        <v>1100</v>
      </c>
      <c r="F108" s="6">
        <v>1100</v>
      </c>
      <c r="G108" s="6">
        <v>1100</v>
      </c>
      <c r="H108" s="6">
        <v>1100</v>
      </c>
      <c r="I108" s="8">
        <f t="shared" si="10"/>
        <v>0</v>
      </c>
      <c r="J108" s="6" t="s">
        <v>45</v>
      </c>
      <c r="K108" s="6" t="s">
        <v>20</v>
      </c>
      <c r="L108" s="6" t="s">
        <v>26</v>
      </c>
      <c r="M108" s="6"/>
    </row>
    <row r="109" spans="1:13" ht="15" thickBot="1">
      <c r="A109" s="33"/>
      <c r="B109" s="5" t="s">
        <v>49</v>
      </c>
      <c r="C109" s="5" t="s">
        <v>25</v>
      </c>
      <c r="D109" s="6" t="s">
        <v>11</v>
      </c>
      <c r="E109" s="6">
        <v>250</v>
      </c>
      <c r="F109" s="6">
        <v>250</v>
      </c>
      <c r="G109" s="6">
        <v>250</v>
      </c>
      <c r="H109" s="6">
        <v>250</v>
      </c>
      <c r="I109" s="8">
        <f t="shared" si="10"/>
        <v>0</v>
      </c>
      <c r="J109" s="6" t="s">
        <v>45</v>
      </c>
      <c r="K109" s="6" t="s">
        <v>28</v>
      </c>
      <c r="L109" s="6" t="s">
        <v>27</v>
      </c>
      <c r="M109" s="6"/>
    </row>
    <row r="110" spans="1:13" ht="15" thickBot="1">
      <c r="A110" s="33"/>
      <c r="B110" s="5" t="s">
        <v>153</v>
      </c>
      <c r="C110" s="5" t="s">
        <v>35</v>
      </c>
      <c r="D110" s="6" t="s">
        <v>11</v>
      </c>
      <c r="E110" s="6">
        <v>8000</v>
      </c>
      <c r="F110" s="6">
        <v>8000</v>
      </c>
      <c r="G110" s="6">
        <v>8000</v>
      </c>
      <c r="H110" s="6">
        <v>8000</v>
      </c>
      <c r="I110" s="8">
        <f t="shared" si="10"/>
        <v>0</v>
      </c>
      <c r="J110" s="6" t="s">
        <v>45</v>
      </c>
      <c r="K110" s="6" t="s">
        <v>20</v>
      </c>
      <c r="L110" s="6" t="s">
        <v>55</v>
      </c>
      <c r="M110" s="6"/>
    </row>
    <row r="111" spans="1:13" ht="15" thickBot="1">
      <c r="A111" s="33"/>
      <c r="B111" s="31" t="s">
        <v>187</v>
      </c>
      <c r="C111" s="32"/>
      <c r="D111" s="12"/>
      <c r="E111" s="12"/>
      <c r="F111" s="12"/>
      <c r="G111" s="12"/>
      <c r="H111" s="12"/>
      <c r="I111" s="15">
        <f>AVERAGE(I99,I100,I101,I102,I103,I104,I105,I106,I107,I108,I109,I110)</f>
        <v>3.3333333333333326</v>
      </c>
      <c r="J111" s="12"/>
      <c r="K111" s="12"/>
      <c r="L111" s="12"/>
      <c r="M111" s="14"/>
    </row>
    <row r="112" spans="1:13" ht="15" thickBot="1">
      <c r="A112" s="33"/>
      <c r="B112" s="28" t="s">
        <v>122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30"/>
    </row>
    <row r="113" spans="1:13" ht="15" thickBot="1">
      <c r="A113" s="33"/>
      <c r="B113" s="5" t="s">
        <v>123</v>
      </c>
      <c r="C113" s="5"/>
      <c r="D113" s="6" t="s">
        <v>11</v>
      </c>
      <c r="E113" s="6">
        <v>50</v>
      </c>
      <c r="F113" s="6">
        <v>50</v>
      </c>
      <c r="G113" s="6">
        <v>50</v>
      </c>
      <c r="H113" s="6">
        <v>50</v>
      </c>
      <c r="I113" s="8">
        <f t="shared" ref="I113:I121" si="11">((E113-F113)/E113)*100</f>
        <v>0</v>
      </c>
      <c r="J113" s="6" t="s">
        <v>45</v>
      </c>
      <c r="K113" s="6" t="s">
        <v>28</v>
      </c>
      <c r="L113" s="6" t="s">
        <v>43</v>
      </c>
      <c r="M113" s="6"/>
    </row>
    <row r="114" spans="1:13" ht="15" thickBot="1">
      <c r="A114" s="33"/>
      <c r="B114" s="5" t="s">
        <v>155</v>
      </c>
      <c r="C114" s="5" t="s">
        <v>103</v>
      </c>
      <c r="D114" s="6" t="s">
        <v>11</v>
      </c>
      <c r="E114" s="6">
        <v>60</v>
      </c>
      <c r="F114" s="6">
        <v>60</v>
      </c>
      <c r="G114" s="6">
        <v>60</v>
      </c>
      <c r="H114" s="6">
        <v>60</v>
      </c>
      <c r="I114" s="8">
        <f t="shared" si="11"/>
        <v>0</v>
      </c>
      <c r="J114" s="6" t="s">
        <v>45</v>
      </c>
      <c r="K114" s="6" t="s">
        <v>154</v>
      </c>
      <c r="L114" s="6" t="s">
        <v>26</v>
      </c>
      <c r="M114" s="6"/>
    </row>
    <row r="115" spans="1:13" ht="15" thickBot="1">
      <c r="A115" s="33"/>
      <c r="B115" s="5" t="s">
        <v>156</v>
      </c>
      <c r="C115" s="5" t="s">
        <v>69</v>
      </c>
      <c r="D115" s="6" t="s">
        <v>11</v>
      </c>
      <c r="E115" s="6">
        <v>550</v>
      </c>
      <c r="F115" s="6">
        <v>500</v>
      </c>
      <c r="G115" s="6">
        <v>500</v>
      </c>
      <c r="H115" s="6">
        <v>500</v>
      </c>
      <c r="I115" s="8">
        <f t="shared" si="11"/>
        <v>9.0909090909090917</v>
      </c>
      <c r="J115" s="6" t="s">
        <v>45</v>
      </c>
      <c r="K115" s="6" t="s">
        <v>154</v>
      </c>
      <c r="L115" s="6" t="s">
        <v>26</v>
      </c>
      <c r="M115" s="6" t="s">
        <v>185</v>
      </c>
    </row>
    <row r="116" spans="1:13" ht="15" thickBot="1">
      <c r="A116" s="33"/>
      <c r="B116" s="5" t="s">
        <v>63</v>
      </c>
      <c r="C116" s="5" t="s">
        <v>103</v>
      </c>
      <c r="D116" s="6" t="s">
        <v>11</v>
      </c>
      <c r="E116" s="6">
        <v>600</v>
      </c>
      <c r="F116" s="6">
        <v>550</v>
      </c>
      <c r="G116" s="6">
        <v>550</v>
      </c>
      <c r="H116" s="6">
        <v>550</v>
      </c>
      <c r="I116" s="8">
        <f>((E116-H116)/E116)*100</f>
        <v>8.3333333333333321</v>
      </c>
      <c r="J116" s="6" t="s">
        <v>45</v>
      </c>
      <c r="K116" s="6" t="s">
        <v>154</v>
      </c>
      <c r="L116" s="6" t="s">
        <v>55</v>
      </c>
      <c r="M116" s="6" t="s">
        <v>172</v>
      </c>
    </row>
    <row r="117" spans="1:13" ht="15" thickBot="1">
      <c r="A117" s="33"/>
      <c r="B117" s="5" t="s">
        <v>157</v>
      </c>
      <c r="C117" s="5" t="s">
        <v>57</v>
      </c>
      <c r="D117" s="6" t="s">
        <v>11</v>
      </c>
      <c r="E117" s="6">
        <v>450</v>
      </c>
      <c r="F117" s="6">
        <v>450</v>
      </c>
      <c r="G117" s="6">
        <v>450</v>
      </c>
      <c r="H117" s="6">
        <v>450</v>
      </c>
      <c r="I117" s="8">
        <f t="shared" si="11"/>
        <v>0</v>
      </c>
      <c r="J117" s="6" t="s">
        <v>45</v>
      </c>
      <c r="K117" s="6" t="s">
        <v>161</v>
      </c>
      <c r="L117" s="6" t="s">
        <v>27</v>
      </c>
      <c r="M117" s="6"/>
    </row>
    <row r="118" spans="1:13" ht="15" thickBot="1">
      <c r="A118" s="33"/>
      <c r="B118" s="5" t="s">
        <v>158</v>
      </c>
      <c r="C118" s="5" t="s">
        <v>57</v>
      </c>
      <c r="D118" s="6" t="s">
        <v>11</v>
      </c>
      <c r="E118" s="6">
        <v>500</v>
      </c>
      <c r="F118" s="6">
        <v>400</v>
      </c>
      <c r="G118" s="6">
        <v>400</v>
      </c>
      <c r="H118" s="6">
        <v>400</v>
      </c>
      <c r="I118" s="8">
        <f t="shared" si="11"/>
        <v>20</v>
      </c>
      <c r="J118" s="6" t="s">
        <v>45</v>
      </c>
      <c r="K118" s="6" t="s">
        <v>154</v>
      </c>
      <c r="L118" s="6" t="s">
        <v>26</v>
      </c>
      <c r="M118" s="6" t="s">
        <v>185</v>
      </c>
    </row>
    <row r="119" spans="1:13" ht="15" thickBot="1">
      <c r="A119" s="33"/>
      <c r="B119" s="5" t="s">
        <v>104</v>
      </c>
      <c r="C119" s="5" t="s">
        <v>159</v>
      </c>
      <c r="D119" s="6" t="s">
        <v>11</v>
      </c>
      <c r="E119" s="6">
        <v>250</v>
      </c>
      <c r="F119" s="6">
        <v>250</v>
      </c>
      <c r="G119" s="6">
        <v>250</v>
      </c>
      <c r="H119" s="6">
        <v>250</v>
      </c>
      <c r="I119" s="8">
        <f t="shared" si="11"/>
        <v>0</v>
      </c>
      <c r="J119" s="6" t="s">
        <v>45</v>
      </c>
      <c r="K119" s="6" t="s">
        <v>154</v>
      </c>
      <c r="L119" s="6" t="s">
        <v>26</v>
      </c>
      <c r="M119" s="6"/>
    </row>
    <row r="120" spans="1:13" ht="15" thickBot="1">
      <c r="A120" s="33"/>
      <c r="B120" s="5" t="s">
        <v>160</v>
      </c>
      <c r="C120" s="5" t="s">
        <v>92</v>
      </c>
      <c r="D120" s="6" t="s">
        <v>11</v>
      </c>
      <c r="E120" s="6">
        <v>200</v>
      </c>
      <c r="F120" s="6">
        <v>200</v>
      </c>
      <c r="G120" s="6">
        <v>200</v>
      </c>
      <c r="H120" s="6">
        <v>200</v>
      </c>
      <c r="I120" s="8">
        <f t="shared" si="11"/>
        <v>0</v>
      </c>
      <c r="J120" s="6" t="s">
        <v>45</v>
      </c>
      <c r="K120" s="6" t="s">
        <v>161</v>
      </c>
      <c r="L120" s="6" t="s">
        <v>27</v>
      </c>
      <c r="M120" s="6"/>
    </row>
    <row r="121" spans="1:13" ht="15" thickBot="1">
      <c r="A121" s="33"/>
      <c r="B121" s="5" t="s">
        <v>89</v>
      </c>
      <c r="C121" s="5" t="s">
        <v>101</v>
      </c>
      <c r="D121" s="6" t="s">
        <v>11</v>
      </c>
      <c r="E121" s="6">
        <v>500</v>
      </c>
      <c r="F121" s="6">
        <v>500</v>
      </c>
      <c r="G121" s="6">
        <v>500</v>
      </c>
      <c r="H121" s="6">
        <v>500</v>
      </c>
      <c r="I121" s="8">
        <f t="shared" si="11"/>
        <v>0</v>
      </c>
      <c r="J121" s="6" t="s">
        <v>45</v>
      </c>
      <c r="K121" s="6" t="s">
        <v>162</v>
      </c>
      <c r="L121" s="6" t="s">
        <v>26</v>
      </c>
      <c r="M121" s="6"/>
    </row>
    <row r="122" spans="1:13" ht="15" thickBot="1">
      <c r="A122" s="33"/>
      <c r="B122" s="31" t="s">
        <v>187</v>
      </c>
      <c r="C122" s="32"/>
      <c r="D122" s="12"/>
      <c r="E122" s="12"/>
      <c r="F122" s="12"/>
      <c r="G122" s="12"/>
      <c r="H122" s="12"/>
      <c r="I122" s="15">
        <f>AVERAGE(I113,I114,I115,I116,I117,I118,I119,I120,I121)</f>
        <v>4.1582491582491583</v>
      </c>
      <c r="J122" s="12"/>
      <c r="K122" s="12"/>
      <c r="L122" s="12"/>
      <c r="M122" s="14"/>
    </row>
    <row r="123" spans="1:13" ht="15" thickBot="1">
      <c r="A123" s="33"/>
      <c r="B123" s="28" t="s">
        <v>124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30"/>
    </row>
    <row r="124" spans="1:13" ht="15" thickBot="1">
      <c r="A124" s="33"/>
      <c r="B124" s="5" t="s">
        <v>87</v>
      </c>
      <c r="C124" s="5" t="s">
        <v>58</v>
      </c>
      <c r="D124" s="24" t="s">
        <v>11</v>
      </c>
      <c r="E124" s="6">
        <v>150</v>
      </c>
      <c r="F124" s="6">
        <v>150</v>
      </c>
      <c r="G124" s="6">
        <v>150</v>
      </c>
      <c r="H124" s="6">
        <v>150</v>
      </c>
      <c r="I124" s="8">
        <f t="shared" ref="I124:I129" si="12">((E124-F124)/E124)*100</f>
        <v>0</v>
      </c>
      <c r="J124" s="6" t="s">
        <v>45</v>
      </c>
      <c r="K124" s="6" t="s">
        <v>20</v>
      </c>
      <c r="L124" s="6" t="s">
        <v>55</v>
      </c>
      <c r="M124" s="6"/>
    </row>
    <row r="125" spans="1:13" ht="15" thickBot="1">
      <c r="A125" s="33"/>
      <c r="B125" s="5" t="s">
        <v>125</v>
      </c>
      <c r="C125" s="5" t="s">
        <v>126</v>
      </c>
      <c r="D125" s="24" t="s">
        <v>11</v>
      </c>
      <c r="E125" s="6">
        <v>300</v>
      </c>
      <c r="F125" s="6">
        <v>300</v>
      </c>
      <c r="G125" s="6">
        <v>250</v>
      </c>
      <c r="H125" s="6">
        <v>250</v>
      </c>
      <c r="I125" s="8">
        <f>((E125-H125)/E125)*100</f>
        <v>16.666666666666664</v>
      </c>
      <c r="J125" s="6" t="s">
        <v>45</v>
      </c>
      <c r="K125" s="6" t="s">
        <v>20</v>
      </c>
      <c r="L125" s="6" t="s">
        <v>26</v>
      </c>
      <c r="M125" s="6" t="s">
        <v>54</v>
      </c>
    </row>
    <row r="126" spans="1:13" ht="15" thickBot="1">
      <c r="A126" s="33"/>
      <c r="B126" s="5" t="s">
        <v>127</v>
      </c>
      <c r="C126" s="5" t="s">
        <v>128</v>
      </c>
      <c r="D126" s="24" t="s">
        <v>11</v>
      </c>
      <c r="E126" s="6">
        <v>700</v>
      </c>
      <c r="F126" s="6">
        <v>700</v>
      </c>
      <c r="G126" s="6">
        <v>700</v>
      </c>
      <c r="H126" s="6">
        <v>700</v>
      </c>
      <c r="I126" s="8">
        <f t="shared" si="12"/>
        <v>0</v>
      </c>
      <c r="J126" s="6" t="s">
        <v>45</v>
      </c>
      <c r="K126" s="6" t="s">
        <v>20</v>
      </c>
      <c r="L126" s="6" t="s">
        <v>26</v>
      </c>
      <c r="M126" s="6"/>
    </row>
    <row r="127" spans="1:13" ht="15" thickBot="1">
      <c r="A127" s="33"/>
      <c r="B127" s="5" t="s">
        <v>102</v>
      </c>
      <c r="C127" s="5" t="s">
        <v>95</v>
      </c>
      <c r="D127" s="24" t="s">
        <v>11</v>
      </c>
      <c r="E127" s="6">
        <v>400</v>
      </c>
      <c r="F127" s="6">
        <v>300</v>
      </c>
      <c r="G127" s="6">
        <v>250</v>
      </c>
      <c r="H127" s="6">
        <v>250</v>
      </c>
      <c r="I127" s="8">
        <f t="shared" si="12"/>
        <v>25</v>
      </c>
      <c r="J127" s="6" t="s">
        <v>45</v>
      </c>
      <c r="K127" s="6" t="s">
        <v>20</v>
      </c>
      <c r="L127" s="6" t="s">
        <v>26</v>
      </c>
      <c r="M127" s="6" t="s">
        <v>185</v>
      </c>
    </row>
    <row r="128" spans="1:13" ht="15" thickBot="1">
      <c r="A128" s="33"/>
      <c r="B128" s="5" t="s">
        <v>104</v>
      </c>
      <c r="C128" s="5" t="s">
        <v>126</v>
      </c>
      <c r="D128" s="24" t="s">
        <v>11</v>
      </c>
      <c r="E128" s="6">
        <v>150</v>
      </c>
      <c r="F128" s="6">
        <v>150</v>
      </c>
      <c r="G128" s="6">
        <v>100</v>
      </c>
      <c r="H128" s="6">
        <v>100</v>
      </c>
      <c r="I128" s="8">
        <f>((E128-H128)/E128)*100</f>
        <v>33.333333333333329</v>
      </c>
      <c r="J128" s="6" t="s">
        <v>45</v>
      </c>
      <c r="K128" s="6" t="s">
        <v>20</v>
      </c>
      <c r="L128" s="6" t="s">
        <v>17</v>
      </c>
      <c r="M128" s="6" t="s">
        <v>214</v>
      </c>
    </row>
    <row r="129" spans="1:13" ht="15" thickBot="1">
      <c r="A129" s="33"/>
      <c r="B129" s="5" t="s">
        <v>163</v>
      </c>
      <c r="C129" s="5" t="s">
        <v>128</v>
      </c>
      <c r="D129" s="24" t="s">
        <v>11</v>
      </c>
      <c r="E129" s="6">
        <v>300</v>
      </c>
      <c r="F129" s="6">
        <v>300</v>
      </c>
      <c r="G129" s="6">
        <v>300</v>
      </c>
      <c r="H129" s="6">
        <v>300</v>
      </c>
      <c r="I129" s="8">
        <f t="shared" si="12"/>
        <v>0</v>
      </c>
      <c r="J129" s="6" t="s">
        <v>45</v>
      </c>
      <c r="K129" s="6" t="s">
        <v>28</v>
      </c>
      <c r="L129" s="6" t="s">
        <v>27</v>
      </c>
      <c r="M129" s="6"/>
    </row>
    <row r="130" spans="1:13" ht="15" thickBot="1">
      <c r="A130" s="33"/>
      <c r="B130" s="31" t="s">
        <v>187</v>
      </c>
      <c r="C130" s="32"/>
      <c r="D130" s="12"/>
      <c r="E130" s="12"/>
      <c r="F130" s="12"/>
      <c r="G130" s="12"/>
      <c r="H130" s="12"/>
      <c r="I130" s="15">
        <f>AVERAGE(I124,I125,I126,I127,I128,I129)</f>
        <v>12.5</v>
      </c>
      <c r="J130" s="12"/>
      <c r="K130" s="12"/>
      <c r="L130" s="12"/>
      <c r="M130" s="14"/>
    </row>
    <row r="131" spans="1:13" ht="15" thickBot="1">
      <c r="A131" s="18"/>
      <c r="B131" s="19" t="s">
        <v>204</v>
      </c>
      <c r="C131" s="20"/>
      <c r="D131" s="21"/>
      <c r="E131" s="21"/>
      <c r="F131" s="21"/>
      <c r="G131" s="21"/>
      <c r="H131" s="21"/>
      <c r="I131" s="22">
        <f>AVERAGE(I130,I122,I111,I97,I89)</f>
        <v>6.9983164983164983</v>
      </c>
      <c r="J131" s="21"/>
      <c r="K131" s="21"/>
      <c r="L131" s="21"/>
      <c r="M131" s="23"/>
    </row>
  </sheetData>
  <mergeCells count="35">
    <mergeCell ref="B89:C89"/>
    <mergeCell ref="A83:A130"/>
    <mergeCell ref="B83:M83"/>
    <mergeCell ref="B90:M90"/>
    <mergeCell ref="B98:M98"/>
    <mergeCell ref="B112:M112"/>
    <mergeCell ref="B123:M123"/>
    <mergeCell ref="B97:C97"/>
    <mergeCell ref="B111:C111"/>
    <mergeCell ref="B122:C122"/>
    <mergeCell ref="B130:C130"/>
    <mergeCell ref="A29:A81"/>
    <mergeCell ref="B29:M29"/>
    <mergeCell ref="B34:M34"/>
    <mergeCell ref="B41:M41"/>
    <mergeCell ref="B55:M55"/>
    <mergeCell ref="B61:M61"/>
    <mergeCell ref="B76:M76"/>
    <mergeCell ref="B60:C60"/>
    <mergeCell ref="B40:C40"/>
    <mergeCell ref="B33:C33"/>
    <mergeCell ref="B54:C54"/>
    <mergeCell ref="B75:C75"/>
    <mergeCell ref="A1:A3"/>
    <mergeCell ref="B1:C2"/>
    <mergeCell ref="E1:M1"/>
    <mergeCell ref="B3:M3"/>
    <mergeCell ref="A4:A27"/>
    <mergeCell ref="B15:C15"/>
    <mergeCell ref="B16:M16"/>
    <mergeCell ref="B21:C21"/>
    <mergeCell ref="B22:M22"/>
    <mergeCell ref="B8:C8"/>
    <mergeCell ref="B9:M9"/>
    <mergeCell ref="B27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D385-AAC5-4FE4-BDB8-231A39AD48CD}">
  <dimension ref="A1:M131"/>
  <sheetViews>
    <sheetView topLeftCell="J6" zoomScale="97" workbookViewId="0">
      <selection activeCell="M92" sqref="M92"/>
    </sheetView>
  </sheetViews>
  <sheetFormatPr baseColWidth="10" defaultRowHeight="14.4"/>
  <cols>
    <col min="1" max="1" width="15.6640625" customWidth="1"/>
    <col min="2" max="2" width="21" customWidth="1"/>
    <col min="3" max="3" width="22.5546875" customWidth="1"/>
    <col min="12" max="12" width="40.6640625" bestFit="1" customWidth="1"/>
    <col min="13" max="13" width="26.21875" bestFit="1" customWidth="1"/>
  </cols>
  <sheetData>
    <row r="1" spans="1:13" ht="15" thickBot="1">
      <c r="A1" s="33" t="s">
        <v>202</v>
      </c>
      <c r="B1" s="34" t="s">
        <v>0</v>
      </c>
      <c r="C1" s="34"/>
      <c r="D1" s="3"/>
      <c r="E1" s="35" t="s">
        <v>1</v>
      </c>
      <c r="F1" s="35"/>
      <c r="G1" s="35"/>
      <c r="H1" s="35"/>
      <c r="I1" s="35"/>
      <c r="J1" s="35"/>
      <c r="K1" s="35"/>
      <c r="L1" s="35"/>
      <c r="M1" s="35"/>
    </row>
    <row r="2" spans="1:13" ht="29.4" thickBot="1">
      <c r="A2" s="33"/>
      <c r="B2" s="34"/>
      <c r="C2" s="34"/>
      <c r="D2" s="3" t="s">
        <v>169</v>
      </c>
      <c r="E2" s="4" t="s">
        <v>2</v>
      </c>
      <c r="F2" s="4" t="s">
        <v>164</v>
      </c>
      <c r="G2" s="4" t="s">
        <v>3</v>
      </c>
      <c r="H2" s="4" t="s">
        <v>165</v>
      </c>
      <c r="I2" s="4" t="s">
        <v>166</v>
      </c>
      <c r="J2" s="4" t="s">
        <v>4</v>
      </c>
      <c r="K2" s="4" t="s">
        <v>5</v>
      </c>
      <c r="L2" s="4" t="s">
        <v>7</v>
      </c>
      <c r="M2" s="4" t="s">
        <v>6</v>
      </c>
    </row>
    <row r="3" spans="1:13" ht="15" thickBot="1">
      <c r="A3" s="33"/>
      <c r="B3" s="36" t="s">
        <v>8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3" ht="15" thickBot="1">
      <c r="A4" s="39" t="s">
        <v>198</v>
      </c>
      <c r="B4" s="25" t="s">
        <v>90</v>
      </c>
      <c r="C4" s="25" t="s">
        <v>170</v>
      </c>
      <c r="D4" s="6" t="s">
        <v>168</v>
      </c>
      <c r="E4" s="6">
        <v>300</v>
      </c>
      <c r="F4" s="6">
        <v>280</v>
      </c>
      <c r="G4" s="6"/>
      <c r="H4" s="6"/>
      <c r="I4" s="8">
        <f>((E4-F4)/E4)*100</f>
        <v>6.666666666666667</v>
      </c>
      <c r="J4" s="6" t="s">
        <v>45</v>
      </c>
      <c r="K4" s="6" t="s">
        <v>9</v>
      </c>
      <c r="L4" s="6" t="s">
        <v>26</v>
      </c>
      <c r="M4" s="6" t="s">
        <v>10</v>
      </c>
    </row>
    <row r="5" spans="1:13" ht="15" thickBot="1">
      <c r="A5" s="39"/>
      <c r="B5" s="25" t="s">
        <v>12</v>
      </c>
      <c r="C5" s="25" t="s">
        <v>58</v>
      </c>
      <c r="D5" s="6" t="s">
        <v>168</v>
      </c>
      <c r="E5" s="6">
        <v>300</v>
      </c>
      <c r="F5" s="6">
        <v>300</v>
      </c>
      <c r="G5" s="6"/>
      <c r="H5" s="6"/>
      <c r="I5" s="8">
        <f t="shared" ref="I5:I7" si="0">((E5-F5)/E5)*100</f>
        <v>0</v>
      </c>
      <c r="J5" s="6" t="s">
        <v>45</v>
      </c>
      <c r="K5" s="6" t="s">
        <v>9</v>
      </c>
      <c r="L5" s="6" t="s">
        <v>26</v>
      </c>
    </row>
    <row r="6" spans="1:13" ht="15" thickBot="1">
      <c r="A6" s="39"/>
      <c r="B6" s="25" t="s">
        <v>14</v>
      </c>
      <c r="C6" s="26" t="s">
        <v>205</v>
      </c>
      <c r="D6" s="6" t="s">
        <v>168</v>
      </c>
      <c r="E6" s="6">
        <v>300</v>
      </c>
      <c r="F6" s="6">
        <v>250</v>
      </c>
      <c r="G6" s="6"/>
      <c r="H6" s="6"/>
      <c r="I6" s="8">
        <f t="shared" si="0"/>
        <v>16.666666666666664</v>
      </c>
      <c r="J6" s="6" t="s">
        <v>45</v>
      </c>
      <c r="K6" s="6" t="s">
        <v>9</v>
      </c>
      <c r="L6" s="6" t="s">
        <v>26</v>
      </c>
      <c r="M6" s="6" t="s">
        <v>54</v>
      </c>
    </row>
    <row r="7" spans="1:13" ht="15" thickBot="1">
      <c r="A7" s="39"/>
      <c r="B7" s="26" t="s">
        <v>206</v>
      </c>
      <c r="C7" s="25" t="s">
        <v>53</v>
      </c>
      <c r="D7" s="6" t="s">
        <v>168</v>
      </c>
      <c r="E7" s="6">
        <v>250</v>
      </c>
      <c r="F7" s="6">
        <v>250</v>
      </c>
      <c r="G7" s="6"/>
      <c r="H7" s="6"/>
      <c r="I7" s="8">
        <f t="shared" si="0"/>
        <v>0</v>
      </c>
      <c r="J7" s="6" t="s">
        <v>45</v>
      </c>
      <c r="K7" s="6" t="s">
        <v>9</v>
      </c>
      <c r="L7" s="6" t="s">
        <v>23</v>
      </c>
      <c r="M7" s="6"/>
    </row>
    <row r="8" spans="1:13" ht="15" thickBot="1">
      <c r="A8" s="39"/>
      <c r="B8" s="31" t="s">
        <v>186</v>
      </c>
      <c r="C8" s="32"/>
      <c r="D8" s="12"/>
      <c r="E8" s="12"/>
      <c r="F8" s="12"/>
      <c r="G8" s="12"/>
      <c r="H8" s="12"/>
      <c r="I8" s="13">
        <f>AVERAGE(I4,I5,I6,I7)</f>
        <v>5.833333333333333</v>
      </c>
      <c r="J8" s="12"/>
      <c r="K8" s="12"/>
      <c r="L8" s="12"/>
      <c r="M8" s="14"/>
    </row>
    <row r="9" spans="1:13" ht="15" thickBot="1">
      <c r="A9" s="39"/>
      <c r="B9" s="28" t="s">
        <v>19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30"/>
    </row>
    <row r="10" spans="1:13" ht="15" thickBot="1">
      <c r="A10" s="39"/>
      <c r="B10" s="5" t="s">
        <v>171</v>
      </c>
      <c r="C10" s="5" t="s">
        <v>22</v>
      </c>
      <c r="D10" s="6" t="s">
        <v>168</v>
      </c>
      <c r="E10" s="6">
        <v>200</v>
      </c>
      <c r="F10" s="6">
        <v>200</v>
      </c>
      <c r="G10" s="6"/>
      <c r="H10" s="6"/>
      <c r="I10" s="9">
        <f>((E10-F10)/E10)*100</f>
        <v>0</v>
      </c>
      <c r="J10" s="6" t="s">
        <v>45</v>
      </c>
      <c r="K10" s="6" t="s">
        <v>9</v>
      </c>
      <c r="L10" s="6" t="s">
        <v>26</v>
      </c>
      <c r="M10" s="6"/>
    </row>
    <row r="11" spans="1:13" ht="15" thickBot="1">
      <c r="A11" s="39"/>
      <c r="B11" s="5" t="s">
        <v>21</v>
      </c>
      <c r="C11" s="5" t="s">
        <v>22</v>
      </c>
      <c r="D11" s="6" t="s">
        <v>168</v>
      </c>
      <c r="E11" s="6">
        <v>500</v>
      </c>
      <c r="F11" s="6">
        <v>450</v>
      </c>
      <c r="G11" s="6"/>
      <c r="H11" s="6"/>
      <c r="I11" s="9">
        <f t="shared" ref="I11:I14" si="1">((E11-F11)/E11)*100</f>
        <v>10</v>
      </c>
      <c r="J11" s="6" t="s">
        <v>45</v>
      </c>
      <c r="K11" s="6" t="s">
        <v>9</v>
      </c>
      <c r="L11" s="6" t="s">
        <v>55</v>
      </c>
      <c r="M11" s="6" t="s">
        <v>191</v>
      </c>
    </row>
    <row r="12" spans="1:13" ht="15" thickBot="1">
      <c r="A12" s="39"/>
      <c r="B12" s="5" t="s">
        <v>24</v>
      </c>
      <c r="C12" s="5" t="s">
        <v>25</v>
      </c>
      <c r="D12" s="6" t="s">
        <v>168</v>
      </c>
      <c r="E12" s="6">
        <v>1300</v>
      </c>
      <c r="F12" s="6">
        <v>1300</v>
      </c>
      <c r="G12" s="6"/>
      <c r="H12" s="6"/>
      <c r="I12" s="9">
        <f t="shared" si="1"/>
        <v>0</v>
      </c>
      <c r="J12" s="6" t="s">
        <v>45</v>
      </c>
      <c r="K12" s="6" t="s">
        <v>9</v>
      </c>
      <c r="L12" s="6" t="s">
        <v>26</v>
      </c>
      <c r="M12" s="6"/>
    </row>
    <row r="13" spans="1:13" ht="15" thickBot="1">
      <c r="A13" s="39"/>
      <c r="B13" s="5" t="s">
        <v>29</v>
      </c>
      <c r="C13" s="5" t="s">
        <v>30</v>
      </c>
      <c r="D13" s="6" t="s">
        <v>168</v>
      </c>
      <c r="E13" s="6">
        <v>500</v>
      </c>
      <c r="F13" s="6">
        <v>500</v>
      </c>
      <c r="G13" s="6"/>
      <c r="H13" s="6"/>
      <c r="I13" s="9">
        <f t="shared" si="1"/>
        <v>0</v>
      </c>
      <c r="J13" s="6" t="s">
        <v>45</v>
      </c>
      <c r="K13" s="6" t="s">
        <v>20</v>
      </c>
      <c r="L13" s="6" t="s">
        <v>23</v>
      </c>
      <c r="M13" s="6"/>
    </row>
    <row r="14" spans="1:13" ht="15" thickBot="1">
      <c r="A14" s="39"/>
      <c r="B14" s="5" t="s">
        <v>32</v>
      </c>
      <c r="C14" s="5" t="s">
        <v>22</v>
      </c>
      <c r="D14" s="6" t="s">
        <v>168</v>
      </c>
      <c r="E14" s="6">
        <v>300</v>
      </c>
      <c r="F14" s="6">
        <v>300</v>
      </c>
      <c r="G14" s="6"/>
      <c r="H14" s="6"/>
      <c r="I14" s="9">
        <f t="shared" si="1"/>
        <v>0</v>
      </c>
      <c r="J14" s="6" t="s">
        <v>45</v>
      </c>
      <c r="K14" s="6" t="s">
        <v>9</v>
      </c>
      <c r="L14" s="6" t="s">
        <v>26</v>
      </c>
      <c r="M14" s="6"/>
    </row>
    <row r="15" spans="1:13" ht="15" thickBot="1">
      <c r="A15" s="39"/>
      <c r="B15" s="31" t="s">
        <v>186</v>
      </c>
      <c r="C15" s="32"/>
      <c r="D15" s="12"/>
      <c r="E15" s="12"/>
      <c r="F15" s="12"/>
      <c r="G15" s="12"/>
      <c r="H15" s="12"/>
      <c r="I15" s="15">
        <f>AVERAGE(I10,I11,I12,I13,I14)</f>
        <v>2</v>
      </c>
      <c r="J15" s="12"/>
      <c r="K15" s="12"/>
      <c r="L15" s="12"/>
      <c r="M15" s="14"/>
    </row>
    <row r="16" spans="1:13" ht="15" thickBot="1">
      <c r="A16" s="39"/>
      <c r="B16" s="28" t="s">
        <v>33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0"/>
    </row>
    <row r="17" spans="1:13" ht="15" thickBot="1">
      <c r="A17" s="39"/>
      <c r="B17" s="5" t="s">
        <v>34</v>
      </c>
      <c r="C17" s="5" t="s">
        <v>35</v>
      </c>
      <c r="D17" s="6" t="s">
        <v>168</v>
      </c>
      <c r="E17" s="6">
        <v>300</v>
      </c>
      <c r="F17" s="6">
        <v>300</v>
      </c>
      <c r="G17" s="6"/>
      <c r="H17" s="6"/>
      <c r="I17" s="9">
        <f>((E17-F17)/E17)*100</f>
        <v>0</v>
      </c>
      <c r="J17" s="6" t="s">
        <v>45</v>
      </c>
      <c r="K17" s="6" t="s">
        <v>20</v>
      </c>
      <c r="L17" s="6" t="s">
        <v>26</v>
      </c>
      <c r="M17" s="6"/>
    </row>
    <row r="18" spans="1:13" ht="15" thickBot="1">
      <c r="A18" s="39"/>
      <c r="B18" s="5" t="s">
        <v>36</v>
      </c>
      <c r="C18" s="5" t="s">
        <v>37</v>
      </c>
      <c r="D18" s="6" t="s">
        <v>168</v>
      </c>
      <c r="E18" s="6">
        <v>300</v>
      </c>
      <c r="F18" s="6">
        <v>200</v>
      </c>
      <c r="G18" s="6"/>
      <c r="H18" s="6"/>
      <c r="I18" s="9">
        <f t="shared" ref="I18:I20" si="2">((E18-F18)/E18)*100</f>
        <v>33.333333333333329</v>
      </c>
      <c r="J18" s="6" t="s">
        <v>45</v>
      </c>
      <c r="K18" s="6" t="s">
        <v>20</v>
      </c>
      <c r="L18" s="6" t="s">
        <v>55</v>
      </c>
      <c r="M18" s="6" t="s">
        <v>174</v>
      </c>
    </row>
    <row r="19" spans="1:13" ht="15" thickBot="1">
      <c r="A19" s="39"/>
      <c r="B19" s="5" t="s">
        <v>38</v>
      </c>
      <c r="C19" s="5" t="s">
        <v>37</v>
      </c>
      <c r="D19" s="6" t="s">
        <v>168</v>
      </c>
      <c r="E19" s="6">
        <v>500</v>
      </c>
      <c r="F19" s="6">
        <v>500</v>
      </c>
      <c r="G19" s="6"/>
      <c r="H19" s="6"/>
      <c r="I19" s="9">
        <f t="shared" si="2"/>
        <v>0</v>
      </c>
      <c r="J19" s="6" t="s">
        <v>45</v>
      </c>
      <c r="K19" s="6" t="s">
        <v>20</v>
      </c>
      <c r="L19" s="6" t="s">
        <v>23</v>
      </c>
      <c r="M19" s="6"/>
    </row>
    <row r="20" spans="1:13" ht="15" thickBot="1">
      <c r="A20" s="39"/>
      <c r="B20" s="5" t="s">
        <v>39</v>
      </c>
      <c r="C20" s="5" t="s">
        <v>35</v>
      </c>
      <c r="D20" s="6" t="s">
        <v>168</v>
      </c>
      <c r="E20" s="6">
        <v>200</v>
      </c>
      <c r="F20" s="6">
        <v>200</v>
      </c>
      <c r="G20" s="6"/>
      <c r="H20" s="6"/>
      <c r="I20" s="9">
        <f t="shared" si="2"/>
        <v>0</v>
      </c>
      <c r="J20" s="6" t="s">
        <v>45</v>
      </c>
      <c r="K20" s="6" t="s">
        <v>20</v>
      </c>
      <c r="L20" s="6" t="s">
        <v>31</v>
      </c>
      <c r="M20" s="6"/>
    </row>
    <row r="21" spans="1:13" ht="15" thickBot="1">
      <c r="A21" s="39"/>
      <c r="B21" s="31" t="s">
        <v>186</v>
      </c>
      <c r="C21" s="32"/>
      <c r="D21" s="12"/>
      <c r="E21" s="12"/>
      <c r="F21" s="12"/>
      <c r="G21" s="12"/>
      <c r="H21" s="12"/>
      <c r="I21" s="15">
        <f>AVERAGE(I17,I18,I19,I20)</f>
        <v>8.3333333333333321</v>
      </c>
      <c r="J21" s="12"/>
      <c r="K21" s="12"/>
      <c r="L21" s="12"/>
      <c r="M21" s="14"/>
    </row>
    <row r="22" spans="1:13" ht="15" thickBot="1">
      <c r="A22" s="39"/>
      <c r="B22" s="28" t="s">
        <v>40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0"/>
    </row>
    <row r="23" spans="1:13" ht="15" thickBot="1">
      <c r="A23" s="39"/>
      <c r="B23" s="5" t="s">
        <v>41</v>
      </c>
      <c r="C23" s="5" t="s">
        <v>42</v>
      </c>
      <c r="D23" s="6" t="s">
        <v>168</v>
      </c>
      <c r="E23" s="6">
        <v>300</v>
      </c>
      <c r="F23" s="6">
        <v>300</v>
      </c>
      <c r="G23" s="6"/>
      <c r="H23" s="6"/>
      <c r="I23" s="9">
        <f>((E23-F23)/E23)*100</f>
        <v>0</v>
      </c>
      <c r="J23" s="6" t="s">
        <v>45</v>
      </c>
      <c r="K23" s="6" t="s">
        <v>20</v>
      </c>
      <c r="L23" s="6" t="s">
        <v>27</v>
      </c>
      <c r="M23" s="6"/>
    </row>
    <row r="24" spans="1:13" ht="15" thickBot="1">
      <c r="A24" s="39"/>
      <c r="B24" s="5" t="s">
        <v>44</v>
      </c>
      <c r="C24" s="5" t="s">
        <v>42</v>
      </c>
      <c r="D24" s="6" t="s">
        <v>168</v>
      </c>
      <c r="E24" s="6">
        <v>200</v>
      </c>
      <c r="F24" s="6">
        <v>200</v>
      </c>
      <c r="G24" s="6"/>
      <c r="H24" s="6"/>
      <c r="I24" s="9">
        <f t="shared" ref="I24:I26" si="3">((E24-F24)/E24)*100</f>
        <v>0</v>
      </c>
      <c r="J24" s="6" t="s">
        <v>45</v>
      </c>
      <c r="K24" s="6" t="s">
        <v>20</v>
      </c>
      <c r="L24" s="6" t="s">
        <v>23</v>
      </c>
      <c r="M24" s="6"/>
    </row>
    <row r="25" spans="1:13" ht="15" thickBot="1">
      <c r="A25" s="39"/>
      <c r="B25" s="5" t="s">
        <v>47</v>
      </c>
      <c r="C25" s="5" t="s">
        <v>42</v>
      </c>
      <c r="D25" s="6" t="s">
        <v>168</v>
      </c>
      <c r="E25" s="6">
        <v>200</v>
      </c>
      <c r="F25" s="6">
        <v>200</v>
      </c>
      <c r="G25" s="6"/>
      <c r="H25" s="6"/>
      <c r="I25" s="9">
        <f t="shared" si="3"/>
        <v>0</v>
      </c>
      <c r="J25" s="6" t="s">
        <v>45</v>
      </c>
      <c r="K25" s="6" t="s">
        <v>20</v>
      </c>
      <c r="L25" s="6" t="s">
        <v>23</v>
      </c>
      <c r="M25" s="6"/>
    </row>
    <row r="26" spans="1:13" ht="15" thickBot="1">
      <c r="A26" s="39"/>
      <c r="B26" s="5" t="s">
        <v>49</v>
      </c>
      <c r="C26" s="5" t="s">
        <v>50</v>
      </c>
      <c r="D26" s="6" t="s">
        <v>168</v>
      </c>
      <c r="E26" s="6">
        <v>100</v>
      </c>
      <c r="F26" s="6">
        <v>100</v>
      </c>
      <c r="G26" s="6"/>
      <c r="H26" s="6"/>
      <c r="I26" s="9">
        <f t="shared" si="3"/>
        <v>0</v>
      </c>
      <c r="J26" s="6" t="s">
        <v>45</v>
      </c>
      <c r="K26" s="6" t="s">
        <v>20</v>
      </c>
      <c r="L26" s="6" t="s">
        <v>55</v>
      </c>
      <c r="M26" s="6"/>
    </row>
    <row r="27" spans="1:13" ht="15" thickBot="1">
      <c r="A27" s="39"/>
      <c r="B27" s="31" t="s">
        <v>186</v>
      </c>
      <c r="C27" s="32"/>
      <c r="D27" s="12"/>
      <c r="E27" s="12"/>
      <c r="F27" s="12"/>
      <c r="G27" s="12"/>
      <c r="H27" s="12"/>
      <c r="I27" s="15">
        <f>AVERAGE(I23+I24+I25+I26)</f>
        <v>0</v>
      </c>
      <c r="J27" s="12"/>
      <c r="K27" s="12"/>
      <c r="L27" s="12"/>
      <c r="M27" s="14"/>
    </row>
    <row r="28" spans="1:13" ht="15" thickBot="1">
      <c r="A28" s="18"/>
      <c r="B28" s="19" t="s">
        <v>203</v>
      </c>
      <c r="C28" s="20"/>
      <c r="D28" s="21"/>
      <c r="E28" s="21"/>
      <c r="F28" s="21"/>
      <c r="G28" s="21"/>
      <c r="H28" s="21"/>
      <c r="I28" s="22">
        <f>AVERAGE(I27,I21,I15,I8)</f>
        <v>4.0416666666666661</v>
      </c>
      <c r="J28" s="21"/>
      <c r="K28" s="21"/>
      <c r="L28" s="21"/>
      <c r="M28" s="23"/>
    </row>
    <row r="29" spans="1:13" ht="15" thickBot="1">
      <c r="A29" s="39" t="s">
        <v>200</v>
      </c>
      <c r="B29" s="28" t="s">
        <v>51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0"/>
    </row>
    <row r="30" spans="1:13" ht="15" thickBot="1">
      <c r="A30" s="39"/>
      <c r="B30" s="5" t="s">
        <v>44</v>
      </c>
      <c r="C30" s="5" t="s">
        <v>52</v>
      </c>
      <c r="D30" s="6" t="s">
        <v>168</v>
      </c>
      <c r="E30" s="6">
        <v>200</v>
      </c>
      <c r="F30" s="6">
        <v>150</v>
      </c>
      <c r="G30" s="6"/>
      <c r="H30" s="6"/>
      <c r="I30" s="8">
        <f>((E30-F30)/E30)*100</f>
        <v>25</v>
      </c>
      <c r="J30" s="6" t="s">
        <v>45</v>
      </c>
      <c r="K30" s="6" t="s">
        <v>20</v>
      </c>
      <c r="L30" s="6" t="s">
        <v>26</v>
      </c>
      <c r="M30" s="6" t="s">
        <v>54</v>
      </c>
    </row>
    <row r="31" spans="1:13" ht="15" thickBot="1">
      <c r="A31" s="39"/>
      <c r="B31" s="5" t="s">
        <v>44</v>
      </c>
      <c r="C31" s="5" t="s">
        <v>53</v>
      </c>
      <c r="D31" s="6" t="s">
        <v>168</v>
      </c>
      <c r="E31" s="6">
        <v>1200</v>
      </c>
      <c r="F31" s="6">
        <v>1100</v>
      </c>
      <c r="G31" s="6"/>
      <c r="H31" s="6"/>
      <c r="I31" s="8">
        <f t="shared" ref="I31:I32" si="4">((E31-F31)/E31)*100</f>
        <v>8.3333333333333321</v>
      </c>
      <c r="J31" s="6" t="s">
        <v>45</v>
      </c>
      <c r="K31" s="6" t="s">
        <v>20</v>
      </c>
      <c r="L31" s="6" t="s">
        <v>207</v>
      </c>
      <c r="M31" s="6" t="s">
        <v>54</v>
      </c>
    </row>
    <row r="32" spans="1:13" ht="15" thickBot="1">
      <c r="A32" s="39"/>
      <c r="B32" s="5" t="s">
        <v>56</v>
      </c>
      <c r="C32" s="5" t="s">
        <v>57</v>
      </c>
      <c r="D32" s="6" t="s">
        <v>168</v>
      </c>
      <c r="E32" s="6">
        <v>300</v>
      </c>
      <c r="F32" s="6">
        <v>300</v>
      </c>
      <c r="G32" s="6"/>
      <c r="H32" s="6"/>
      <c r="I32" s="8">
        <f t="shared" si="4"/>
        <v>0</v>
      </c>
      <c r="J32" s="6" t="s">
        <v>45</v>
      </c>
      <c r="K32" s="6" t="s">
        <v>20</v>
      </c>
      <c r="L32" s="6" t="s">
        <v>55</v>
      </c>
      <c r="M32" s="6"/>
    </row>
    <row r="33" spans="1:13" ht="15" thickBot="1">
      <c r="A33" s="39"/>
      <c r="B33" s="10" t="s">
        <v>186</v>
      </c>
      <c r="C33" s="11"/>
      <c r="D33" s="12"/>
      <c r="E33" s="12"/>
      <c r="F33" s="12"/>
      <c r="G33" s="12"/>
      <c r="H33" s="12"/>
      <c r="I33" s="15">
        <f>AVERAGE(I30,I31,I32)</f>
        <v>11.111111111111109</v>
      </c>
      <c r="J33" s="12"/>
      <c r="K33" s="12"/>
      <c r="L33" s="12"/>
      <c r="M33" s="14"/>
    </row>
    <row r="34" spans="1:13" ht="15" thickBot="1">
      <c r="A34" s="39"/>
      <c r="B34" s="28" t="s">
        <v>199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0"/>
    </row>
    <row r="35" spans="1:13" ht="15" thickBot="1">
      <c r="A35" s="39"/>
      <c r="B35" s="5" t="s">
        <v>61</v>
      </c>
      <c r="C35" s="5" t="s">
        <v>57</v>
      </c>
      <c r="D35" s="6" t="s">
        <v>168</v>
      </c>
      <c r="E35" s="6">
        <v>300</v>
      </c>
      <c r="F35" s="6">
        <v>300</v>
      </c>
      <c r="G35" s="6"/>
      <c r="H35" s="6"/>
      <c r="I35" s="8">
        <f>((E35-F35)/E35)*100</f>
        <v>0</v>
      </c>
      <c r="J35" s="6" t="s">
        <v>45</v>
      </c>
      <c r="K35" s="6" t="s">
        <v>20</v>
      </c>
      <c r="L35" s="6" t="s">
        <v>26</v>
      </c>
      <c r="M35" s="6"/>
    </row>
    <row r="36" spans="1:13" ht="15" thickBot="1">
      <c r="A36" s="39"/>
      <c r="B36" s="5" t="s">
        <v>63</v>
      </c>
      <c r="C36" s="5" t="s">
        <v>57</v>
      </c>
      <c r="D36" s="6" t="s">
        <v>168</v>
      </c>
      <c r="E36" s="6">
        <v>500</v>
      </c>
      <c r="F36" s="6">
        <v>350</v>
      </c>
      <c r="G36" s="6"/>
      <c r="H36" s="6"/>
      <c r="I36" s="8">
        <f t="shared" ref="I36:I39" si="5">((E36-F36)/E36)*100</f>
        <v>30</v>
      </c>
      <c r="J36" s="6" t="s">
        <v>45</v>
      </c>
      <c r="K36" s="6" t="s">
        <v>9</v>
      </c>
      <c r="L36" s="6" t="s">
        <v>55</v>
      </c>
      <c r="M36" s="6" t="s">
        <v>178</v>
      </c>
    </row>
    <row r="37" spans="1:13" ht="15" thickBot="1">
      <c r="A37" s="39"/>
      <c r="B37" s="5" t="s">
        <v>65</v>
      </c>
      <c r="C37" s="5" t="s">
        <v>57</v>
      </c>
      <c r="D37" s="6" t="s">
        <v>168</v>
      </c>
      <c r="E37" s="6">
        <v>200</v>
      </c>
      <c r="F37" s="6">
        <v>175</v>
      </c>
      <c r="G37" s="6"/>
      <c r="H37" s="6"/>
      <c r="I37" s="8">
        <f t="shared" si="5"/>
        <v>12.5</v>
      </c>
      <c r="J37" s="6" t="s">
        <v>45</v>
      </c>
      <c r="K37" s="6" t="s">
        <v>20</v>
      </c>
      <c r="L37" s="6" t="s">
        <v>23</v>
      </c>
      <c r="M37" s="6" t="s">
        <v>215</v>
      </c>
    </row>
    <row r="38" spans="1:13" ht="15" thickBot="1">
      <c r="A38" s="39"/>
      <c r="B38" s="5" t="s">
        <v>67</v>
      </c>
      <c r="C38" s="5" t="s">
        <v>57</v>
      </c>
      <c r="D38" s="6" t="s">
        <v>168</v>
      </c>
      <c r="E38" s="6">
        <v>400</v>
      </c>
      <c r="F38" s="6">
        <v>400</v>
      </c>
      <c r="G38" s="6"/>
      <c r="H38" s="6"/>
      <c r="I38" s="8">
        <f t="shared" si="5"/>
        <v>0</v>
      </c>
      <c r="J38" s="6" t="s">
        <v>45</v>
      </c>
      <c r="K38" s="6" t="s">
        <v>20</v>
      </c>
      <c r="L38" s="6" t="s">
        <v>26</v>
      </c>
      <c r="M38" s="6"/>
    </row>
    <row r="39" spans="1:13" ht="15" thickBot="1">
      <c r="A39" s="39"/>
      <c r="B39" s="5" t="s">
        <v>60</v>
      </c>
      <c r="C39" s="5" t="s">
        <v>95</v>
      </c>
      <c r="D39" s="6" t="s">
        <v>168</v>
      </c>
      <c r="E39" s="6">
        <v>200</v>
      </c>
      <c r="F39" s="6">
        <v>200</v>
      </c>
      <c r="G39" s="6"/>
      <c r="H39" s="6"/>
      <c r="I39" s="8">
        <f t="shared" si="5"/>
        <v>0</v>
      </c>
      <c r="J39" s="6" t="s">
        <v>45</v>
      </c>
      <c r="K39" s="6" t="s">
        <v>20</v>
      </c>
      <c r="L39" s="6" t="s">
        <v>26</v>
      </c>
      <c r="M39" s="6"/>
    </row>
    <row r="40" spans="1:13" ht="15" thickBot="1">
      <c r="A40" s="39"/>
      <c r="B40" s="31" t="s">
        <v>186</v>
      </c>
      <c r="C40" s="32"/>
      <c r="D40" s="12"/>
      <c r="E40" s="12"/>
      <c r="F40" s="12"/>
      <c r="G40" s="12"/>
      <c r="H40" s="12"/>
      <c r="I40" s="15">
        <f>AVERAGE(I35,I36,I37,I38,I39)</f>
        <v>8.5</v>
      </c>
      <c r="J40" s="12"/>
      <c r="K40" s="12"/>
      <c r="L40" s="12"/>
      <c r="M40" s="14"/>
    </row>
    <row r="41" spans="1:13" ht="15" thickBot="1">
      <c r="A41" s="39"/>
      <c r="B41" s="28" t="s">
        <v>68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2" spans="1:13" ht="15" thickBot="1">
      <c r="A42" s="39"/>
      <c r="B42" s="5" t="s">
        <v>61</v>
      </c>
      <c r="C42" s="5" t="s">
        <v>69</v>
      </c>
      <c r="D42" s="6" t="s">
        <v>168</v>
      </c>
      <c r="E42" s="6">
        <v>1000</v>
      </c>
      <c r="F42" s="6">
        <v>1000</v>
      </c>
      <c r="G42" s="6"/>
      <c r="H42" s="6"/>
      <c r="I42" s="8">
        <f>((E42-F42)/E42)*100</f>
        <v>0</v>
      </c>
      <c r="J42" s="6" t="s">
        <v>45</v>
      </c>
      <c r="K42" s="6" t="s">
        <v>20</v>
      </c>
      <c r="L42" s="6" t="s">
        <v>26</v>
      </c>
      <c r="M42" s="6"/>
    </row>
    <row r="43" spans="1:13" ht="15" thickBot="1">
      <c r="A43" s="39"/>
      <c r="B43" s="5" t="s">
        <v>70</v>
      </c>
      <c r="C43" s="5" t="s">
        <v>69</v>
      </c>
      <c r="D43" s="6" t="s">
        <v>168</v>
      </c>
      <c r="E43" s="6">
        <v>2000</v>
      </c>
      <c r="F43" s="6">
        <v>2000</v>
      </c>
      <c r="G43" s="6"/>
      <c r="H43" s="6"/>
      <c r="I43" s="8">
        <f t="shared" ref="I43:I53" si="6">((E43-F43)/E43)*100</f>
        <v>0</v>
      </c>
      <c r="J43" s="6" t="s">
        <v>45</v>
      </c>
      <c r="K43" s="6" t="s">
        <v>20</v>
      </c>
      <c r="L43" s="6" t="s">
        <v>26</v>
      </c>
      <c r="M43" s="6"/>
    </row>
    <row r="44" spans="1:13" ht="15" thickBot="1">
      <c r="A44" s="39"/>
      <c r="B44" s="5" t="s">
        <v>71</v>
      </c>
      <c r="C44" s="5" t="s">
        <v>69</v>
      </c>
      <c r="D44" s="6" t="s">
        <v>168</v>
      </c>
      <c r="E44" s="6">
        <v>500</v>
      </c>
      <c r="F44" s="6">
        <v>500</v>
      </c>
      <c r="G44" s="6"/>
      <c r="H44" s="6"/>
      <c r="I44" s="8">
        <f t="shared" si="6"/>
        <v>0</v>
      </c>
      <c r="J44" s="6" t="s">
        <v>45</v>
      </c>
      <c r="K44" s="6" t="s">
        <v>20</v>
      </c>
      <c r="L44" s="6" t="s">
        <v>26</v>
      </c>
      <c r="M44" s="6"/>
    </row>
    <row r="45" spans="1:13" ht="15" thickBot="1">
      <c r="A45" s="39"/>
      <c r="B45" s="5" t="s">
        <v>72</v>
      </c>
      <c r="C45" s="5" t="s">
        <v>73</v>
      </c>
      <c r="D45" s="6" t="s">
        <v>168</v>
      </c>
      <c r="E45" s="6">
        <v>200</v>
      </c>
      <c r="F45" s="6">
        <v>200</v>
      </c>
      <c r="G45" s="6"/>
      <c r="H45" s="6"/>
      <c r="I45" s="8">
        <f t="shared" si="6"/>
        <v>0</v>
      </c>
      <c r="J45" s="6" t="s">
        <v>45</v>
      </c>
      <c r="K45" s="6" t="s">
        <v>20</v>
      </c>
      <c r="L45" s="6" t="s">
        <v>23</v>
      </c>
      <c r="M45" s="6"/>
    </row>
    <row r="46" spans="1:13" ht="15" thickBot="1">
      <c r="A46" s="39"/>
      <c r="B46" s="5" t="s">
        <v>74</v>
      </c>
      <c r="C46" s="5" t="s">
        <v>69</v>
      </c>
      <c r="D46" s="6" t="s">
        <v>168</v>
      </c>
      <c r="E46" s="6">
        <v>1800</v>
      </c>
      <c r="F46" s="6">
        <v>1800</v>
      </c>
      <c r="G46" s="6"/>
      <c r="H46" s="6"/>
      <c r="I46" s="8">
        <f t="shared" si="6"/>
        <v>0</v>
      </c>
      <c r="J46" s="6" t="s">
        <v>45</v>
      </c>
      <c r="K46" s="6" t="s">
        <v>20</v>
      </c>
      <c r="L46" s="6" t="s">
        <v>23</v>
      </c>
      <c r="M46" s="6"/>
    </row>
    <row r="47" spans="1:13" ht="15" thickBot="1">
      <c r="A47" s="39"/>
      <c r="B47" s="5" t="s">
        <v>47</v>
      </c>
      <c r="C47" s="5" t="s">
        <v>58</v>
      </c>
      <c r="D47" s="6" t="s">
        <v>168</v>
      </c>
      <c r="E47" s="6">
        <v>250</v>
      </c>
      <c r="F47" s="6">
        <v>250</v>
      </c>
      <c r="G47" s="6"/>
      <c r="H47" s="6"/>
      <c r="I47" s="8">
        <f t="shared" si="6"/>
        <v>0</v>
      </c>
      <c r="J47" s="6" t="s">
        <v>45</v>
      </c>
      <c r="K47" s="6" t="s">
        <v>20</v>
      </c>
      <c r="L47" s="6" t="s">
        <v>23</v>
      </c>
      <c r="M47" s="6"/>
    </row>
    <row r="48" spans="1:13" ht="15" thickBot="1">
      <c r="A48" s="39"/>
      <c r="B48" s="5" t="s">
        <v>89</v>
      </c>
      <c r="C48" s="5" t="s">
        <v>180</v>
      </c>
      <c r="D48" s="6" t="s">
        <v>168</v>
      </c>
      <c r="E48" s="6">
        <v>500</v>
      </c>
      <c r="F48" s="6">
        <v>400</v>
      </c>
      <c r="G48" s="6"/>
      <c r="H48" s="6"/>
      <c r="I48" s="8">
        <f t="shared" si="6"/>
        <v>20</v>
      </c>
      <c r="J48" s="6" t="s">
        <v>45</v>
      </c>
      <c r="K48" s="6" t="s">
        <v>20</v>
      </c>
      <c r="L48" s="6" t="s">
        <v>55</v>
      </c>
      <c r="M48" s="6" t="s">
        <v>192</v>
      </c>
    </row>
    <row r="49" spans="1:13" ht="15" thickBot="1">
      <c r="A49" s="39"/>
      <c r="B49" s="5" t="s">
        <v>39</v>
      </c>
      <c r="C49" s="5" t="s">
        <v>132</v>
      </c>
      <c r="D49" s="6" t="s">
        <v>168</v>
      </c>
      <c r="E49" s="6">
        <v>300</v>
      </c>
      <c r="F49" s="6">
        <v>300</v>
      </c>
      <c r="G49" s="6"/>
      <c r="H49" s="6"/>
      <c r="I49" s="8">
        <f t="shared" si="6"/>
        <v>0</v>
      </c>
      <c r="J49" s="6" t="s">
        <v>45</v>
      </c>
      <c r="K49" s="6" t="s">
        <v>20</v>
      </c>
      <c r="L49" s="6" t="s">
        <v>26</v>
      </c>
      <c r="M49" s="6"/>
    </row>
    <row r="50" spans="1:13" ht="15" thickBot="1">
      <c r="A50" s="39"/>
      <c r="B50" s="5" t="s">
        <v>135</v>
      </c>
      <c r="C50" s="5" t="s">
        <v>77</v>
      </c>
      <c r="D50" s="6" t="s">
        <v>168</v>
      </c>
      <c r="E50" s="6">
        <v>600</v>
      </c>
      <c r="F50" s="6">
        <v>550</v>
      </c>
      <c r="G50" s="6"/>
      <c r="H50" s="6"/>
      <c r="I50" s="8">
        <f t="shared" si="6"/>
        <v>8.3333333333333321</v>
      </c>
      <c r="J50" s="6" t="s">
        <v>45</v>
      </c>
      <c r="K50" s="6" t="s">
        <v>20</v>
      </c>
      <c r="L50" s="6" t="s">
        <v>26</v>
      </c>
      <c r="M50" s="6" t="s">
        <v>185</v>
      </c>
    </row>
    <row r="51" spans="1:13" ht="15" thickBot="1">
      <c r="A51" s="39"/>
      <c r="B51" s="5" t="s">
        <v>133</v>
      </c>
      <c r="C51" s="5" t="s">
        <v>134</v>
      </c>
      <c r="D51" s="6" t="s">
        <v>168</v>
      </c>
      <c r="E51" s="6">
        <v>500</v>
      </c>
      <c r="F51" s="6">
        <v>500</v>
      </c>
      <c r="G51" s="6"/>
      <c r="H51" s="6"/>
      <c r="I51" s="8">
        <f t="shared" si="6"/>
        <v>0</v>
      </c>
      <c r="J51" s="6" t="s">
        <v>45</v>
      </c>
      <c r="K51" s="6" t="s">
        <v>20</v>
      </c>
      <c r="L51" s="6" t="s">
        <v>26</v>
      </c>
      <c r="M51" s="6"/>
    </row>
    <row r="52" spans="1:13" ht="15" thickBot="1">
      <c r="A52" s="39"/>
      <c r="B52" s="5" t="s">
        <v>136</v>
      </c>
      <c r="C52" s="5" t="s">
        <v>22</v>
      </c>
      <c r="D52" s="6" t="s">
        <v>168</v>
      </c>
      <c r="E52" s="6">
        <v>300</v>
      </c>
      <c r="F52" s="6">
        <v>300</v>
      </c>
      <c r="G52" s="6"/>
      <c r="H52" s="6"/>
      <c r="I52" s="8">
        <f t="shared" si="6"/>
        <v>0</v>
      </c>
      <c r="J52" s="6" t="s">
        <v>45</v>
      </c>
      <c r="K52" s="6" t="s">
        <v>20</v>
      </c>
      <c r="L52" s="6" t="s">
        <v>23</v>
      </c>
      <c r="M52" s="6"/>
    </row>
    <row r="53" spans="1:13" ht="15" thickBot="1">
      <c r="A53" s="39"/>
      <c r="B53" s="5" t="s">
        <v>137</v>
      </c>
      <c r="C53" s="5" t="s">
        <v>138</v>
      </c>
      <c r="D53" s="6" t="s">
        <v>168</v>
      </c>
      <c r="E53" s="6">
        <v>1000</v>
      </c>
      <c r="F53" s="6">
        <v>1000</v>
      </c>
      <c r="G53" s="6"/>
      <c r="H53" s="6"/>
      <c r="I53" s="8">
        <f t="shared" si="6"/>
        <v>0</v>
      </c>
      <c r="J53" s="6" t="s">
        <v>45</v>
      </c>
      <c r="K53" s="6" t="s">
        <v>20</v>
      </c>
      <c r="L53" s="6" t="s">
        <v>55</v>
      </c>
      <c r="M53" s="6"/>
    </row>
    <row r="54" spans="1:13" ht="15" thickBot="1">
      <c r="A54" s="39"/>
      <c r="B54" s="31" t="s">
        <v>186</v>
      </c>
      <c r="C54" s="32"/>
      <c r="D54" s="12"/>
      <c r="E54" s="12"/>
      <c r="F54" s="12"/>
      <c r="G54" s="12"/>
      <c r="H54" s="12"/>
      <c r="I54" s="15">
        <f>AVERAGE(I42,I43,I44,I45,I46,I47,I48,I49,I50,I51,I52,I53)</f>
        <v>2.3611111111111112</v>
      </c>
      <c r="J54" s="12"/>
      <c r="K54" s="12"/>
      <c r="L54" s="12"/>
      <c r="M54" s="14"/>
    </row>
    <row r="55" spans="1:13" ht="15" thickBot="1">
      <c r="A55" s="39"/>
      <c r="B55" s="28" t="s">
        <v>76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0"/>
    </row>
    <row r="56" spans="1:13" ht="15" thickBot="1">
      <c r="A56" s="39"/>
      <c r="B56" s="5" t="s">
        <v>79</v>
      </c>
      <c r="C56" s="5" t="s">
        <v>81</v>
      </c>
      <c r="D56" s="6" t="s">
        <v>168</v>
      </c>
      <c r="E56" s="6">
        <v>200</v>
      </c>
      <c r="F56" s="6">
        <v>200</v>
      </c>
      <c r="G56" s="6"/>
      <c r="H56" s="6"/>
      <c r="I56" s="8">
        <f>((E56-F56)/E56)*100</f>
        <v>0</v>
      </c>
      <c r="J56" s="6" t="s">
        <v>45</v>
      </c>
      <c r="K56" s="6" t="s">
        <v>20</v>
      </c>
      <c r="L56" s="6" t="s">
        <v>27</v>
      </c>
      <c r="M56" s="6"/>
    </row>
    <row r="57" spans="1:13" ht="15" thickBot="1">
      <c r="A57" s="39"/>
      <c r="B57" s="5" t="s">
        <v>80</v>
      </c>
      <c r="C57" s="5" t="s">
        <v>81</v>
      </c>
      <c r="D57" s="6" t="s">
        <v>168</v>
      </c>
      <c r="E57" s="6">
        <v>300</v>
      </c>
      <c r="F57" s="6">
        <v>300</v>
      </c>
      <c r="G57" s="6"/>
      <c r="H57" s="6"/>
      <c r="I57" s="8">
        <f t="shared" ref="I57:I59" si="7">((E57-F57)/E57)*100</f>
        <v>0</v>
      </c>
      <c r="J57" s="6" t="s">
        <v>45</v>
      </c>
      <c r="K57" s="6" t="s">
        <v>20</v>
      </c>
      <c r="L57" s="6" t="s">
        <v>31</v>
      </c>
      <c r="M57" s="6"/>
    </row>
    <row r="58" spans="1:13" ht="15" thickBot="1">
      <c r="A58" s="39"/>
      <c r="B58" s="5" t="s">
        <v>83</v>
      </c>
      <c r="C58" s="5" t="s">
        <v>84</v>
      </c>
      <c r="D58" s="6" t="s">
        <v>168</v>
      </c>
      <c r="E58" s="6">
        <v>100</v>
      </c>
      <c r="F58" s="6">
        <v>100</v>
      </c>
      <c r="G58" s="6"/>
      <c r="H58" s="6"/>
      <c r="I58" s="8">
        <f t="shared" si="7"/>
        <v>0</v>
      </c>
      <c r="J58" s="6" t="s">
        <v>45</v>
      </c>
      <c r="K58" s="6" t="s">
        <v>20</v>
      </c>
      <c r="L58" s="6" t="s">
        <v>27</v>
      </c>
      <c r="M58" s="6"/>
    </row>
    <row r="59" spans="1:13" ht="15" thickBot="1">
      <c r="A59" s="39"/>
      <c r="B59" s="5" t="s">
        <v>85</v>
      </c>
      <c r="C59" s="5" t="s">
        <v>22</v>
      </c>
      <c r="D59" s="6" t="s">
        <v>168</v>
      </c>
      <c r="E59" s="6">
        <v>300</v>
      </c>
      <c r="F59" s="6">
        <v>300</v>
      </c>
      <c r="G59" s="6"/>
      <c r="H59" s="6"/>
      <c r="I59" s="8">
        <f t="shared" si="7"/>
        <v>0</v>
      </c>
      <c r="J59" s="6" t="s">
        <v>45</v>
      </c>
      <c r="K59" s="6" t="s">
        <v>20</v>
      </c>
      <c r="L59" s="6" t="s">
        <v>31</v>
      </c>
      <c r="M59" s="6"/>
    </row>
    <row r="60" spans="1:13" ht="15" thickBot="1">
      <c r="A60" s="39"/>
      <c r="B60" s="31" t="s">
        <v>186</v>
      </c>
      <c r="C60" s="32"/>
      <c r="D60" s="12"/>
      <c r="E60" s="12"/>
      <c r="F60" s="12"/>
      <c r="G60" s="12"/>
      <c r="H60" s="12"/>
      <c r="I60" s="15">
        <f>AVERAGE(I56+I57+I58+I59)</f>
        <v>0</v>
      </c>
      <c r="J60" s="12"/>
      <c r="K60" s="12"/>
      <c r="L60" s="12"/>
      <c r="M60" s="14"/>
    </row>
    <row r="61" spans="1:13" ht="15" thickBot="1">
      <c r="A61" s="39"/>
      <c r="B61" s="28" t="s">
        <v>86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30"/>
    </row>
    <row r="62" spans="1:13" ht="15" thickBot="1">
      <c r="A62" s="39"/>
      <c r="B62" s="5" t="s">
        <v>87</v>
      </c>
      <c r="C62" s="5" t="s">
        <v>88</v>
      </c>
      <c r="D62" s="6" t="s">
        <v>168</v>
      </c>
      <c r="E62" s="6">
        <v>250</v>
      </c>
      <c r="F62" s="6">
        <v>250</v>
      </c>
      <c r="G62" s="6"/>
      <c r="H62" s="6"/>
      <c r="I62" s="8">
        <f>((E62-F62)/E62)*100</f>
        <v>0</v>
      </c>
      <c r="J62" s="6" t="s">
        <v>45</v>
      </c>
      <c r="K62" s="6" t="s">
        <v>20</v>
      </c>
      <c r="L62" s="6" t="s">
        <v>23</v>
      </c>
      <c r="M62" s="6"/>
    </row>
    <row r="63" spans="1:13" ht="15" thickBot="1">
      <c r="A63" s="39"/>
      <c r="B63" s="5" t="s">
        <v>89</v>
      </c>
      <c r="C63" s="5" t="s">
        <v>88</v>
      </c>
      <c r="D63" s="6" t="s">
        <v>168</v>
      </c>
      <c r="E63" s="6">
        <v>800</v>
      </c>
      <c r="F63" s="6">
        <v>800</v>
      </c>
      <c r="G63" s="6"/>
      <c r="H63" s="6"/>
      <c r="I63" s="8">
        <f t="shared" ref="I63:I74" si="8">((E63-F63)/E63)*100</f>
        <v>0</v>
      </c>
      <c r="J63" s="6" t="s">
        <v>45</v>
      </c>
      <c r="K63" s="6" t="s">
        <v>20</v>
      </c>
      <c r="L63" s="6" t="s">
        <v>55</v>
      </c>
      <c r="M63" s="6"/>
    </row>
    <row r="64" spans="1:13" ht="15" thickBot="1">
      <c r="A64" s="39"/>
      <c r="B64" s="5" t="s">
        <v>90</v>
      </c>
      <c r="C64" s="5" t="s">
        <v>88</v>
      </c>
      <c r="D64" s="6" t="s">
        <v>168</v>
      </c>
      <c r="E64" s="6">
        <v>900</v>
      </c>
      <c r="F64" s="6">
        <v>900</v>
      </c>
      <c r="G64" s="6"/>
      <c r="H64" s="6"/>
      <c r="I64" s="8">
        <f t="shared" si="8"/>
        <v>0</v>
      </c>
      <c r="J64" s="6" t="s">
        <v>45</v>
      </c>
      <c r="K64" s="6" t="s">
        <v>9</v>
      </c>
      <c r="L64" s="6" t="s">
        <v>23</v>
      </c>
      <c r="M64" s="6"/>
    </row>
    <row r="65" spans="1:13" ht="15" thickBot="1">
      <c r="A65" s="39"/>
      <c r="B65" s="5" t="s">
        <v>91</v>
      </c>
      <c r="C65" s="5" t="s">
        <v>92</v>
      </c>
      <c r="D65" s="6" t="s">
        <v>168</v>
      </c>
      <c r="E65" s="6">
        <v>1500</v>
      </c>
      <c r="F65" s="6">
        <v>1500</v>
      </c>
      <c r="G65" s="6"/>
      <c r="H65" s="6"/>
      <c r="I65" s="8">
        <f t="shared" si="8"/>
        <v>0</v>
      </c>
      <c r="J65" s="6" t="s">
        <v>45</v>
      </c>
      <c r="K65" s="6" t="s">
        <v>9</v>
      </c>
      <c r="L65" s="6" t="s">
        <v>23</v>
      </c>
      <c r="M65" s="6"/>
    </row>
    <row r="66" spans="1:13" ht="15" thickBot="1">
      <c r="A66" s="39"/>
      <c r="B66" s="5" t="s">
        <v>139</v>
      </c>
      <c r="C66" s="5" t="s">
        <v>140</v>
      </c>
      <c r="D66" s="6" t="s">
        <v>168</v>
      </c>
      <c r="E66" s="6">
        <v>800</v>
      </c>
      <c r="F66" s="6">
        <v>750</v>
      </c>
      <c r="G66" s="6"/>
      <c r="H66" s="6"/>
      <c r="I66" s="8">
        <f t="shared" si="8"/>
        <v>6.25</v>
      </c>
      <c r="J66" s="6" t="s">
        <v>45</v>
      </c>
      <c r="K66" s="6" t="s">
        <v>9</v>
      </c>
      <c r="L66" s="6" t="s">
        <v>26</v>
      </c>
      <c r="M66" s="6" t="s">
        <v>54</v>
      </c>
    </row>
    <row r="67" spans="1:13" ht="15" thickBot="1">
      <c r="A67" s="39"/>
      <c r="B67" s="5" t="s">
        <v>141</v>
      </c>
      <c r="C67" s="5" t="s">
        <v>92</v>
      </c>
      <c r="D67" s="6" t="s">
        <v>168</v>
      </c>
      <c r="E67" s="6">
        <v>250</v>
      </c>
      <c r="F67" s="6">
        <v>200</v>
      </c>
      <c r="G67" s="6"/>
      <c r="H67" s="6"/>
      <c r="I67" s="8">
        <f t="shared" si="8"/>
        <v>20</v>
      </c>
      <c r="J67" s="6" t="s">
        <v>45</v>
      </c>
      <c r="K67" s="6" t="s">
        <v>9</v>
      </c>
      <c r="L67" s="6" t="s">
        <v>26</v>
      </c>
      <c r="M67" s="6" t="s">
        <v>172</v>
      </c>
    </row>
    <row r="68" spans="1:13" ht="15" thickBot="1">
      <c r="A68" s="39"/>
      <c r="B68" s="5" t="s">
        <v>29</v>
      </c>
      <c r="C68" s="5" t="s">
        <v>92</v>
      </c>
      <c r="D68" s="6" t="s">
        <v>168</v>
      </c>
      <c r="E68" s="6">
        <v>100</v>
      </c>
      <c r="F68" s="6">
        <v>100</v>
      </c>
      <c r="G68" s="6"/>
      <c r="H68" s="6"/>
      <c r="I68" s="8">
        <f t="shared" si="8"/>
        <v>0</v>
      </c>
      <c r="J68" s="6" t="s">
        <v>45</v>
      </c>
      <c r="K68" s="6" t="s">
        <v>9</v>
      </c>
      <c r="L68" s="6" t="s">
        <v>26</v>
      </c>
      <c r="M68" s="6"/>
    </row>
    <row r="69" spans="1:13" ht="15" thickBot="1">
      <c r="A69" s="39"/>
      <c r="B69" s="5" t="s">
        <v>38</v>
      </c>
      <c r="C69" s="5" t="s">
        <v>142</v>
      </c>
      <c r="D69" s="6" t="s">
        <v>168</v>
      </c>
      <c r="E69" s="6">
        <v>500</v>
      </c>
      <c r="F69" s="6">
        <v>450</v>
      </c>
      <c r="G69" s="6"/>
      <c r="H69" s="6"/>
      <c r="I69" s="8">
        <f t="shared" si="8"/>
        <v>10</v>
      </c>
      <c r="J69" s="6" t="s">
        <v>45</v>
      </c>
      <c r="K69" s="6" t="s">
        <v>9</v>
      </c>
      <c r="L69" s="6" t="s">
        <v>26</v>
      </c>
      <c r="M69" s="6"/>
    </row>
    <row r="70" spans="1:13" ht="15" thickBot="1">
      <c r="A70" s="39"/>
      <c r="B70" s="5" t="s">
        <v>80</v>
      </c>
      <c r="C70" s="5" t="s">
        <v>57</v>
      </c>
      <c r="D70" s="6" t="s">
        <v>168</v>
      </c>
      <c r="E70" s="6">
        <v>2000</v>
      </c>
      <c r="F70" s="6">
        <v>2000</v>
      </c>
      <c r="G70" s="6"/>
      <c r="H70" s="6"/>
      <c r="I70" s="8">
        <f t="shared" si="8"/>
        <v>0</v>
      </c>
      <c r="J70" s="6" t="s">
        <v>45</v>
      </c>
      <c r="K70" s="6" t="s">
        <v>9</v>
      </c>
      <c r="L70" s="6" t="s">
        <v>26</v>
      </c>
      <c r="M70" s="6"/>
    </row>
    <row r="71" spans="1:13" ht="15" thickBot="1">
      <c r="A71" s="39"/>
      <c r="B71" s="5" t="s">
        <v>143</v>
      </c>
      <c r="C71" s="5" t="s">
        <v>92</v>
      </c>
      <c r="D71" s="6" t="s">
        <v>168</v>
      </c>
      <c r="E71" s="6">
        <v>3000</v>
      </c>
      <c r="F71" s="6">
        <v>3000</v>
      </c>
      <c r="G71" s="6"/>
      <c r="H71" s="6"/>
      <c r="I71" s="8">
        <f t="shared" si="8"/>
        <v>0</v>
      </c>
      <c r="J71" s="6" t="s">
        <v>45</v>
      </c>
      <c r="K71" s="6" t="s">
        <v>9</v>
      </c>
      <c r="L71" s="6" t="s">
        <v>23</v>
      </c>
      <c r="M71" s="6"/>
    </row>
    <row r="72" spans="1:13" ht="15" thickBot="1">
      <c r="A72" s="39"/>
      <c r="B72" s="5" t="s">
        <v>144</v>
      </c>
      <c r="C72" s="5" t="s">
        <v>145</v>
      </c>
      <c r="D72" s="6" t="s">
        <v>168</v>
      </c>
      <c r="E72" s="6">
        <v>800</v>
      </c>
      <c r="F72" s="6">
        <v>800</v>
      </c>
      <c r="G72" s="6"/>
      <c r="H72" s="6"/>
      <c r="I72" s="8">
        <f t="shared" si="8"/>
        <v>0</v>
      </c>
      <c r="J72" s="6" t="s">
        <v>45</v>
      </c>
      <c r="K72" s="6" t="s">
        <v>9</v>
      </c>
      <c r="L72" s="6" t="s">
        <v>23</v>
      </c>
      <c r="M72" s="6"/>
    </row>
    <row r="73" spans="1:13" ht="15" thickBot="1">
      <c r="A73" s="39"/>
      <c r="B73" s="5" t="s">
        <v>146</v>
      </c>
      <c r="C73" s="5" t="s">
        <v>92</v>
      </c>
      <c r="D73" s="6" t="s">
        <v>168</v>
      </c>
      <c r="E73" s="6">
        <v>2500</v>
      </c>
      <c r="F73" s="6">
        <v>2500</v>
      </c>
      <c r="G73" s="6"/>
      <c r="H73" s="6"/>
      <c r="I73" s="8">
        <f t="shared" si="8"/>
        <v>0</v>
      </c>
      <c r="J73" s="6" t="s">
        <v>45</v>
      </c>
      <c r="K73" s="6" t="s">
        <v>9</v>
      </c>
      <c r="L73" s="6" t="s">
        <v>26</v>
      </c>
      <c r="M73" s="6"/>
    </row>
    <row r="74" spans="1:13" ht="15" thickBot="1">
      <c r="A74" s="39"/>
      <c r="B74" s="5" t="s">
        <v>147</v>
      </c>
      <c r="C74" s="5" t="s">
        <v>138</v>
      </c>
      <c r="D74" s="6" t="s">
        <v>168</v>
      </c>
      <c r="E74" s="6">
        <v>1200</v>
      </c>
      <c r="F74" s="6">
        <v>1000</v>
      </c>
      <c r="G74" s="6"/>
      <c r="H74" s="6"/>
      <c r="I74" s="8">
        <f t="shared" si="8"/>
        <v>16.666666666666664</v>
      </c>
      <c r="J74" s="6" t="s">
        <v>45</v>
      </c>
      <c r="K74" s="6" t="s">
        <v>9</v>
      </c>
      <c r="L74" s="6" t="s">
        <v>26</v>
      </c>
      <c r="M74" s="6" t="s">
        <v>172</v>
      </c>
    </row>
    <row r="75" spans="1:13" ht="15" thickBot="1">
      <c r="A75" s="39"/>
      <c r="B75" s="31" t="s">
        <v>186</v>
      </c>
      <c r="C75" s="32"/>
      <c r="D75" s="12"/>
      <c r="E75" s="12"/>
      <c r="F75" s="12"/>
      <c r="G75" s="12"/>
      <c r="H75" s="12"/>
      <c r="I75" s="15">
        <f>AVERAGE(I62,I63,I64,I65,I66,I67,I68,I69,I70,I71,I72,I73,I74)</f>
        <v>4.0705128205128203</v>
      </c>
      <c r="J75" s="12"/>
      <c r="K75" s="12"/>
      <c r="L75" s="12"/>
      <c r="M75" s="14"/>
    </row>
    <row r="76" spans="1:13" ht="15" thickBot="1">
      <c r="A76" s="39"/>
      <c r="B76" s="28" t="s">
        <v>93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30"/>
    </row>
    <row r="77" spans="1:13" ht="15" thickBot="1">
      <c r="A77" s="39"/>
      <c r="B77" s="5" t="s">
        <v>94</v>
      </c>
      <c r="C77" s="5" t="s">
        <v>95</v>
      </c>
      <c r="D77" s="6" t="s">
        <v>168</v>
      </c>
      <c r="E77" s="6">
        <v>1500</v>
      </c>
      <c r="F77" s="6">
        <v>1500</v>
      </c>
      <c r="G77" s="6"/>
      <c r="H77" s="6"/>
      <c r="I77" s="8">
        <f>((E77-F77)/E77)*100</f>
        <v>0</v>
      </c>
      <c r="J77" s="6" t="s">
        <v>45</v>
      </c>
      <c r="K77" s="6" t="s">
        <v>9</v>
      </c>
      <c r="L77" s="6" t="s">
        <v>23</v>
      </c>
      <c r="M77" s="6"/>
    </row>
    <row r="78" spans="1:13" ht="15" thickBot="1">
      <c r="A78" s="39"/>
      <c r="B78" s="5" t="s">
        <v>96</v>
      </c>
      <c r="C78" s="27" t="s">
        <v>25</v>
      </c>
      <c r="D78" s="6" t="s">
        <v>168</v>
      </c>
      <c r="E78" s="6">
        <v>500</v>
      </c>
      <c r="F78" s="6">
        <v>500</v>
      </c>
      <c r="G78" s="6"/>
      <c r="H78" s="6"/>
      <c r="I78" s="8">
        <f t="shared" ref="I78:I80" si="9">((E78-F78)/E78)*100</f>
        <v>0</v>
      </c>
      <c r="J78" s="6" t="s">
        <v>45</v>
      </c>
      <c r="K78" s="6" t="s">
        <v>9</v>
      </c>
      <c r="L78" s="6" t="s">
        <v>26</v>
      </c>
      <c r="M78" s="6"/>
    </row>
    <row r="79" spans="1:13" ht="15" thickBot="1">
      <c r="A79" s="39"/>
      <c r="B79" s="5" t="s">
        <v>97</v>
      </c>
      <c r="C79" s="27" t="s">
        <v>25</v>
      </c>
      <c r="D79" s="6" t="s">
        <v>168</v>
      </c>
      <c r="E79" s="6">
        <v>500</v>
      </c>
      <c r="F79" s="6">
        <v>500</v>
      </c>
      <c r="G79" s="6"/>
      <c r="H79" s="6"/>
      <c r="I79" s="8">
        <f t="shared" si="9"/>
        <v>0</v>
      </c>
      <c r="J79" s="6" t="s">
        <v>45</v>
      </c>
      <c r="K79" s="6" t="s">
        <v>9</v>
      </c>
      <c r="L79" s="6" t="s">
        <v>26</v>
      </c>
      <c r="M79" s="6"/>
    </row>
    <row r="80" spans="1:13" ht="15" thickBot="1">
      <c r="A80" s="39"/>
      <c r="B80" s="5" t="s">
        <v>130</v>
      </c>
      <c r="C80" s="27" t="s">
        <v>25</v>
      </c>
      <c r="D80" s="6" t="s">
        <v>168</v>
      </c>
      <c r="E80" s="6">
        <v>500</v>
      </c>
      <c r="F80" s="6">
        <v>500</v>
      </c>
      <c r="G80" s="6"/>
      <c r="H80" s="6"/>
      <c r="I80" s="8">
        <f t="shared" si="9"/>
        <v>0</v>
      </c>
      <c r="J80" s="6" t="s">
        <v>45</v>
      </c>
      <c r="K80" s="6" t="s">
        <v>9</v>
      </c>
      <c r="L80" s="6" t="s">
        <v>26</v>
      </c>
      <c r="M80" s="6"/>
    </row>
    <row r="81" spans="1:13" ht="15" thickBot="1">
      <c r="A81" s="39"/>
      <c r="B81" s="40" t="s">
        <v>186</v>
      </c>
      <c r="C81" s="41"/>
      <c r="D81" s="12"/>
      <c r="E81" s="12"/>
      <c r="F81" s="12"/>
      <c r="G81" s="12"/>
      <c r="H81" s="12"/>
      <c r="I81" s="15">
        <f>AVERAGE(I77,I78,I79,I80)</f>
        <v>0</v>
      </c>
      <c r="J81" s="12"/>
      <c r="K81" s="12"/>
      <c r="L81" s="12"/>
      <c r="M81" s="14"/>
    </row>
    <row r="82" spans="1:13" ht="15" thickBot="1">
      <c r="A82" s="18"/>
      <c r="B82" s="19" t="s">
        <v>203</v>
      </c>
      <c r="C82" s="20"/>
      <c r="D82" s="21"/>
      <c r="E82" s="21"/>
      <c r="F82" s="21"/>
      <c r="G82" s="21"/>
      <c r="H82" s="21"/>
      <c r="I82" s="22">
        <f>AVERAGE(I81,I75,I60,I54,I40,I33)</f>
        <v>4.3404558404558395</v>
      </c>
      <c r="J82" s="21"/>
      <c r="K82" s="21"/>
      <c r="L82" s="21"/>
      <c r="M82" s="23"/>
    </row>
    <row r="83" spans="1:13" ht="15" thickBot="1">
      <c r="A83" s="33" t="s">
        <v>201</v>
      </c>
      <c r="B83" s="28" t="s">
        <v>131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30"/>
    </row>
    <row r="84" spans="1:13" ht="15" thickBot="1">
      <c r="A84" s="33"/>
      <c r="B84" s="5" t="s">
        <v>99</v>
      </c>
      <c r="C84" s="5" t="s">
        <v>100</v>
      </c>
      <c r="D84" s="6" t="s">
        <v>168</v>
      </c>
      <c r="E84" s="6">
        <v>200</v>
      </c>
      <c r="F84" s="6">
        <v>200</v>
      </c>
      <c r="G84" s="6"/>
      <c r="H84" s="6"/>
      <c r="I84" s="8">
        <f>((E84-F84)/E84)*100</f>
        <v>0</v>
      </c>
      <c r="J84" s="6" t="s">
        <v>45</v>
      </c>
      <c r="K84" s="6" t="s">
        <v>20</v>
      </c>
      <c r="L84" s="6" t="s">
        <v>55</v>
      </c>
      <c r="M84" s="6"/>
    </row>
    <row r="85" spans="1:13" ht="15" thickBot="1">
      <c r="A85" s="33"/>
      <c r="B85" s="5" t="s">
        <v>80</v>
      </c>
      <c r="C85" s="5" t="s">
        <v>95</v>
      </c>
      <c r="D85" s="6" t="s">
        <v>168</v>
      </c>
      <c r="E85" s="6">
        <v>400</v>
      </c>
      <c r="F85" s="6">
        <v>400</v>
      </c>
      <c r="G85" s="6"/>
      <c r="H85" s="6"/>
      <c r="I85" s="8">
        <f t="shared" ref="I85:I88" si="10">((E85-F85)/E85)*100</f>
        <v>0</v>
      </c>
      <c r="J85" s="6" t="s">
        <v>45</v>
      </c>
      <c r="K85" s="6" t="s">
        <v>20</v>
      </c>
      <c r="L85" s="6" t="s">
        <v>55</v>
      </c>
      <c r="M85" s="6"/>
    </row>
    <row r="86" spans="1:13" ht="15" thickBot="1">
      <c r="A86" s="33"/>
      <c r="B86" s="5" t="s">
        <v>78</v>
      </c>
      <c r="C86" s="5" t="s">
        <v>101</v>
      </c>
      <c r="D86" s="6" t="s">
        <v>168</v>
      </c>
      <c r="E86" s="6">
        <v>150</v>
      </c>
      <c r="F86" s="6">
        <v>150</v>
      </c>
      <c r="G86" s="6"/>
      <c r="H86" s="6"/>
      <c r="I86" s="8">
        <f t="shared" si="10"/>
        <v>0</v>
      </c>
      <c r="J86" s="6" t="s">
        <v>45</v>
      </c>
      <c r="K86" s="6" t="s">
        <v>20</v>
      </c>
      <c r="L86" s="6" t="s">
        <v>26</v>
      </c>
      <c r="M86" s="6"/>
    </row>
    <row r="87" spans="1:13" ht="15" thickBot="1">
      <c r="A87" s="33"/>
      <c r="B87" s="5" t="s">
        <v>102</v>
      </c>
      <c r="C87" s="5" t="s">
        <v>103</v>
      </c>
      <c r="D87" s="6" t="s">
        <v>168</v>
      </c>
      <c r="E87" s="6">
        <v>200</v>
      </c>
      <c r="F87" s="6">
        <v>150</v>
      </c>
      <c r="G87" s="6"/>
      <c r="H87" s="6"/>
      <c r="I87" s="8">
        <f t="shared" si="10"/>
        <v>25</v>
      </c>
      <c r="J87" s="6" t="s">
        <v>45</v>
      </c>
      <c r="K87" s="6" t="s">
        <v>20</v>
      </c>
      <c r="L87" s="6" t="s">
        <v>26</v>
      </c>
      <c r="M87" s="6" t="s">
        <v>174</v>
      </c>
    </row>
    <row r="88" spans="1:13" ht="15" thickBot="1">
      <c r="A88" s="33"/>
      <c r="B88" s="5" t="s">
        <v>104</v>
      </c>
      <c r="C88" s="5" t="s">
        <v>101</v>
      </c>
      <c r="D88" s="6" t="s">
        <v>168</v>
      </c>
      <c r="E88" s="6">
        <v>300</v>
      </c>
      <c r="F88" s="6">
        <v>250</v>
      </c>
      <c r="G88" s="6"/>
      <c r="H88" s="6"/>
      <c r="I88" s="8">
        <f t="shared" si="10"/>
        <v>16.666666666666664</v>
      </c>
      <c r="J88" s="6" t="s">
        <v>45</v>
      </c>
      <c r="K88" s="6" t="s">
        <v>20</v>
      </c>
      <c r="L88" s="6" t="s">
        <v>23</v>
      </c>
      <c r="M88" s="6" t="s">
        <v>174</v>
      </c>
    </row>
    <row r="89" spans="1:13" ht="15" thickBot="1">
      <c r="A89" s="33"/>
      <c r="B89" s="31" t="s">
        <v>186</v>
      </c>
      <c r="C89" s="32"/>
      <c r="D89" s="12"/>
      <c r="E89" s="12"/>
      <c r="F89" s="12"/>
      <c r="G89" s="12"/>
      <c r="H89" s="12"/>
      <c r="I89" s="15">
        <f>AVERAGE(I84,I85,I86,I87,I88)</f>
        <v>8.3333333333333321</v>
      </c>
      <c r="J89" s="12"/>
      <c r="K89" s="12"/>
      <c r="L89" s="12"/>
      <c r="M89" s="14"/>
    </row>
    <row r="90" spans="1:13" ht="15" thickBot="1">
      <c r="A90" s="33"/>
      <c r="B90" s="28" t="s">
        <v>98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30"/>
    </row>
    <row r="91" spans="1:13" ht="15" thickBot="1">
      <c r="A91" s="33"/>
      <c r="B91" s="5" t="s">
        <v>105</v>
      </c>
      <c r="C91" s="5" t="s">
        <v>57</v>
      </c>
      <c r="D91" s="6" t="s">
        <v>168</v>
      </c>
      <c r="E91" s="6">
        <v>200</v>
      </c>
      <c r="F91" s="6">
        <v>175</v>
      </c>
      <c r="G91" s="6"/>
      <c r="H91" s="6"/>
      <c r="I91" s="8">
        <f>((E91-F91)/E91)*100</f>
        <v>12.5</v>
      </c>
      <c r="J91" s="6" t="s">
        <v>45</v>
      </c>
      <c r="K91" s="6" t="s">
        <v>20</v>
      </c>
      <c r="L91" s="6" t="s">
        <v>23</v>
      </c>
      <c r="M91" s="6" t="s">
        <v>178</v>
      </c>
    </row>
    <row r="92" spans="1:13" ht="15" thickBot="1">
      <c r="A92" s="33"/>
      <c r="B92" s="5" t="s">
        <v>107</v>
      </c>
      <c r="C92" s="5" t="s">
        <v>57</v>
      </c>
      <c r="D92" s="6" t="s">
        <v>168</v>
      </c>
      <c r="E92" s="6">
        <v>200</v>
      </c>
      <c r="F92" s="6">
        <v>150</v>
      </c>
      <c r="G92" s="6"/>
      <c r="H92" s="6"/>
      <c r="I92" s="8">
        <f t="shared" ref="I92:I96" si="11">((E92-F92)/E92)*100</f>
        <v>25</v>
      </c>
      <c r="J92" s="6" t="s">
        <v>45</v>
      </c>
      <c r="K92" s="6" t="s">
        <v>20</v>
      </c>
      <c r="L92" s="6" t="s">
        <v>55</v>
      </c>
      <c r="M92" s="6" t="s">
        <v>216</v>
      </c>
    </row>
    <row r="93" spans="1:13" ht="15" thickBot="1">
      <c r="A93" s="33"/>
      <c r="B93" s="5" t="s">
        <v>90</v>
      </c>
      <c r="C93" s="5" t="s">
        <v>109</v>
      </c>
      <c r="D93" s="6" t="s">
        <v>168</v>
      </c>
      <c r="E93" s="6">
        <v>250</v>
      </c>
      <c r="F93" s="6">
        <v>250</v>
      </c>
      <c r="G93" s="6"/>
      <c r="H93" s="6"/>
      <c r="I93" s="8">
        <f t="shared" si="11"/>
        <v>0</v>
      </c>
      <c r="J93" s="6" t="s">
        <v>45</v>
      </c>
      <c r="K93" s="6" t="s">
        <v>20</v>
      </c>
      <c r="L93" s="6" t="s">
        <v>23</v>
      </c>
      <c r="M93" s="6"/>
    </row>
    <row r="94" spans="1:13" ht="15" thickBot="1">
      <c r="A94" s="33"/>
      <c r="B94" s="5" t="s">
        <v>89</v>
      </c>
      <c r="C94" s="5" t="s">
        <v>111</v>
      </c>
      <c r="D94" s="6" t="s">
        <v>168</v>
      </c>
      <c r="E94" s="6">
        <v>300</v>
      </c>
      <c r="F94" s="6">
        <v>300</v>
      </c>
      <c r="G94" s="6"/>
      <c r="H94" s="6"/>
      <c r="I94" s="8">
        <f t="shared" si="11"/>
        <v>0</v>
      </c>
      <c r="J94" s="6" t="s">
        <v>45</v>
      </c>
      <c r="K94" s="6" t="s">
        <v>20</v>
      </c>
      <c r="L94" s="6" t="s">
        <v>23</v>
      </c>
      <c r="M94" s="6"/>
    </row>
    <row r="95" spans="1:13" ht="15" thickBot="1">
      <c r="A95" s="33"/>
      <c r="B95" s="5" t="s">
        <v>112</v>
      </c>
      <c r="C95" s="5" t="s">
        <v>113</v>
      </c>
      <c r="D95" s="6" t="s">
        <v>168</v>
      </c>
      <c r="E95" s="6">
        <v>300</v>
      </c>
      <c r="F95" s="6">
        <v>300</v>
      </c>
      <c r="G95" s="6"/>
      <c r="H95" s="6"/>
      <c r="I95" s="8">
        <f t="shared" si="11"/>
        <v>0</v>
      </c>
      <c r="J95" s="6" t="s">
        <v>45</v>
      </c>
      <c r="K95" s="6" t="s">
        <v>20</v>
      </c>
      <c r="L95" s="6" t="s">
        <v>26</v>
      </c>
      <c r="M95" s="6"/>
    </row>
    <row r="96" spans="1:13" ht="15" thickBot="1">
      <c r="A96" s="33"/>
      <c r="B96" s="5" t="s">
        <v>99</v>
      </c>
      <c r="C96" s="5" t="s">
        <v>114</v>
      </c>
      <c r="D96" s="6" t="s">
        <v>168</v>
      </c>
      <c r="E96" s="6">
        <v>400</v>
      </c>
      <c r="F96" s="6">
        <v>400</v>
      </c>
      <c r="G96" s="6"/>
      <c r="H96" s="6"/>
      <c r="I96" s="8">
        <f t="shared" si="11"/>
        <v>0</v>
      </c>
      <c r="J96" s="6" t="s">
        <v>45</v>
      </c>
      <c r="K96" s="6" t="s">
        <v>20</v>
      </c>
      <c r="L96" s="6" t="s">
        <v>26</v>
      </c>
      <c r="M96" s="6"/>
    </row>
    <row r="97" spans="1:13" ht="15" thickBot="1">
      <c r="A97" s="33"/>
      <c r="B97" s="31" t="s">
        <v>186</v>
      </c>
      <c r="C97" s="32"/>
      <c r="D97" s="12"/>
      <c r="E97" s="12"/>
      <c r="F97" s="12"/>
      <c r="G97" s="12"/>
      <c r="H97" s="12"/>
      <c r="I97" s="15">
        <f>AVERAGE(I91,I92,I93,I94,I95,I96)</f>
        <v>6.25</v>
      </c>
      <c r="J97" s="12"/>
      <c r="K97" s="12"/>
      <c r="L97" s="12"/>
      <c r="M97" s="14"/>
    </row>
    <row r="98" spans="1:13" ht="15" thickBot="1">
      <c r="A98" s="33"/>
      <c r="B98" s="28" t="s">
        <v>116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30"/>
    </row>
    <row r="99" spans="1:13" ht="15" thickBot="1">
      <c r="A99" s="33"/>
      <c r="B99" s="5" t="s">
        <v>32</v>
      </c>
      <c r="C99" s="5" t="s">
        <v>117</v>
      </c>
      <c r="D99" s="6" t="s">
        <v>168</v>
      </c>
      <c r="E99" s="6">
        <v>600</v>
      </c>
      <c r="F99" s="6">
        <v>600</v>
      </c>
      <c r="G99" s="6"/>
      <c r="H99" s="6"/>
      <c r="I99" s="8">
        <f>((E99-F99)/E99)*100</f>
        <v>0</v>
      </c>
      <c r="J99" s="6" t="s">
        <v>45</v>
      </c>
      <c r="K99" s="6" t="s">
        <v>20</v>
      </c>
      <c r="L99" s="6" t="s">
        <v>59</v>
      </c>
      <c r="M99" s="6"/>
    </row>
    <row r="100" spans="1:13" ht="15" thickBot="1">
      <c r="A100" s="33"/>
      <c r="B100" s="5" t="s">
        <v>137</v>
      </c>
      <c r="C100" s="5" t="s">
        <v>35</v>
      </c>
      <c r="D100" s="6" t="s">
        <v>168</v>
      </c>
      <c r="E100" s="6">
        <v>700</v>
      </c>
      <c r="F100" s="6">
        <v>700</v>
      </c>
      <c r="G100" s="6"/>
      <c r="H100" s="6"/>
      <c r="I100" s="8">
        <f t="shared" ref="I100:I110" si="12">((E100-F100)/E100)*100</f>
        <v>0</v>
      </c>
      <c r="J100" s="6" t="s">
        <v>45</v>
      </c>
      <c r="K100" s="6" t="s">
        <v>20</v>
      </c>
      <c r="L100" s="6" t="s">
        <v>17</v>
      </c>
      <c r="M100" s="6"/>
    </row>
    <row r="101" spans="1:13" ht="15" thickBot="1">
      <c r="A101" s="33"/>
      <c r="B101" s="5" t="s">
        <v>49</v>
      </c>
      <c r="C101" s="5" t="s">
        <v>119</v>
      </c>
      <c r="D101" s="6" t="s">
        <v>168</v>
      </c>
      <c r="E101" s="6">
        <v>250</v>
      </c>
      <c r="F101" s="6">
        <v>250</v>
      </c>
      <c r="G101" s="6"/>
      <c r="H101" s="6"/>
      <c r="I101" s="8">
        <f t="shared" si="12"/>
        <v>0</v>
      </c>
      <c r="J101" s="6" t="s">
        <v>45</v>
      </c>
      <c r="K101" s="6" t="s">
        <v>20</v>
      </c>
      <c r="L101" s="6" t="s">
        <v>23</v>
      </c>
      <c r="M101" s="6"/>
    </row>
    <row r="102" spans="1:13" ht="15" thickBot="1">
      <c r="A102" s="33"/>
      <c r="B102" s="5" t="s">
        <v>120</v>
      </c>
      <c r="C102" s="5" t="s">
        <v>121</v>
      </c>
      <c r="D102" s="6" t="s">
        <v>168</v>
      </c>
      <c r="E102" s="6">
        <v>400</v>
      </c>
      <c r="F102" s="6">
        <v>400</v>
      </c>
      <c r="G102" s="6"/>
      <c r="H102" s="6"/>
      <c r="I102" s="8">
        <f t="shared" si="12"/>
        <v>0</v>
      </c>
      <c r="J102" s="6" t="s">
        <v>45</v>
      </c>
      <c r="K102" s="6" t="s">
        <v>20</v>
      </c>
      <c r="L102" s="6" t="s">
        <v>26</v>
      </c>
      <c r="M102" s="6"/>
    </row>
    <row r="103" spans="1:13" ht="15" thickBot="1">
      <c r="A103" s="33"/>
      <c r="B103" s="5" t="s">
        <v>115</v>
      </c>
      <c r="C103" s="5" t="s">
        <v>42</v>
      </c>
      <c r="D103" s="6" t="s">
        <v>168</v>
      </c>
      <c r="E103" s="6">
        <v>400</v>
      </c>
      <c r="F103" s="6">
        <v>400</v>
      </c>
      <c r="G103" s="6"/>
      <c r="H103" s="6"/>
      <c r="I103" s="8">
        <f t="shared" si="12"/>
        <v>0</v>
      </c>
      <c r="J103" s="6" t="s">
        <v>45</v>
      </c>
      <c r="K103" s="6" t="s">
        <v>20</v>
      </c>
      <c r="L103" s="6" t="s">
        <v>26</v>
      </c>
      <c r="M103" s="6"/>
    </row>
    <row r="104" spans="1:13" ht="15" thickBot="1">
      <c r="A104" s="33"/>
      <c r="B104" s="5" t="s">
        <v>44</v>
      </c>
      <c r="C104" s="5" t="s">
        <v>114</v>
      </c>
      <c r="D104" s="6" t="s">
        <v>168</v>
      </c>
      <c r="E104" s="6">
        <v>200</v>
      </c>
      <c r="F104" s="6">
        <v>150</v>
      </c>
      <c r="G104" s="6"/>
      <c r="H104" s="6"/>
      <c r="I104" s="8">
        <f t="shared" si="12"/>
        <v>25</v>
      </c>
      <c r="J104" s="6" t="s">
        <v>45</v>
      </c>
      <c r="K104" s="6" t="s">
        <v>20</v>
      </c>
      <c r="L104" s="6" t="s">
        <v>26</v>
      </c>
      <c r="M104" s="6" t="s">
        <v>54</v>
      </c>
    </row>
    <row r="105" spans="1:13" ht="15" thickBot="1">
      <c r="A105" s="33"/>
      <c r="B105" s="5" t="s">
        <v>148</v>
      </c>
      <c r="C105" s="5" t="s">
        <v>149</v>
      </c>
      <c r="D105" s="6" t="s">
        <v>168</v>
      </c>
      <c r="E105" s="6">
        <v>600</v>
      </c>
      <c r="F105" s="6">
        <v>600</v>
      </c>
      <c r="G105" s="6"/>
      <c r="H105" s="6"/>
      <c r="I105" s="8">
        <f t="shared" si="12"/>
        <v>0</v>
      </c>
      <c r="J105" s="6" t="s">
        <v>45</v>
      </c>
      <c r="K105" s="6" t="s">
        <v>154</v>
      </c>
      <c r="L105" s="6" t="s">
        <v>26</v>
      </c>
      <c r="M105" s="6"/>
    </row>
    <row r="106" spans="1:13" ht="15" thickBot="1">
      <c r="A106" s="33"/>
      <c r="B106" s="5" t="s">
        <v>150</v>
      </c>
      <c r="C106" s="5" t="s">
        <v>151</v>
      </c>
      <c r="D106" s="6" t="s">
        <v>168</v>
      </c>
      <c r="E106" s="6">
        <v>2000</v>
      </c>
      <c r="F106" s="6">
        <v>2000</v>
      </c>
      <c r="G106" s="6"/>
      <c r="H106" s="6"/>
      <c r="I106" s="8">
        <f t="shared" si="12"/>
        <v>0</v>
      </c>
      <c r="J106" s="6" t="s">
        <v>45</v>
      </c>
      <c r="K106" s="6" t="s">
        <v>154</v>
      </c>
      <c r="L106" s="6" t="s">
        <v>23</v>
      </c>
      <c r="M106" s="6"/>
    </row>
    <row r="107" spans="1:13" ht="15" thickBot="1">
      <c r="A107" s="33"/>
      <c r="B107" s="5" t="s">
        <v>152</v>
      </c>
      <c r="C107" s="5" t="s">
        <v>57</v>
      </c>
      <c r="D107" s="6" t="s">
        <v>168</v>
      </c>
      <c r="E107" s="6">
        <v>1500</v>
      </c>
      <c r="F107" s="6">
        <v>1500</v>
      </c>
      <c r="G107" s="6"/>
      <c r="H107" s="6"/>
      <c r="I107" s="8">
        <f t="shared" si="12"/>
        <v>0</v>
      </c>
      <c r="J107" s="6" t="s">
        <v>45</v>
      </c>
      <c r="K107" s="6" t="s">
        <v>154</v>
      </c>
      <c r="L107" s="6" t="s">
        <v>23</v>
      </c>
      <c r="M107" s="6"/>
    </row>
    <row r="108" spans="1:13" ht="15" thickBot="1">
      <c r="A108" s="33"/>
      <c r="B108" s="5" t="s">
        <v>104</v>
      </c>
      <c r="C108" s="5" t="s">
        <v>119</v>
      </c>
      <c r="D108" s="6" t="s">
        <v>168</v>
      </c>
      <c r="E108" s="6">
        <v>1500</v>
      </c>
      <c r="F108" s="6">
        <v>1500</v>
      </c>
      <c r="G108" s="6"/>
      <c r="H108" s="6"/>
      <c r="I108" s="8">
        <f t="shared" si="12"/>
        <v>0</v>
      </c>
      <c r="J108" s="6" t="s">
        <v>45</v>
      </c>
      <c r="K108" s="6" t="s">
        <v>20</v>
      </c>
      <c r="L108" s="6" t="s">
        <v>23</v>
      </c>
      <c r="M108" s="6"/>
    </row>
    <row r="109" spans="1:13" ht="15" thickBot="1">
      <c r="A109" s="33"/>
      <c r="B109" s="5" t="s">
        <v>49</v>
      </c>
      <c r="C109" s="5" t="s">
        <v>25</v>
      </c>
      <c r="D109" s="6" t="s">
        <v>168</v>
      </c>
      <c r="E109" s="6">
        <v>300</v>
      </c>
      <c r="F109" s="6">
        <v>300</v>
      </c>
      <c r="G109" s="6"/>
      <c r="H109" s="6"/>
      <c r="I109" s="8">
        <f t="shared" si="12"/>
        <v>0</v>
      </c>
      <c r="J109" s="6" t="s">
        <v>45</v>
      </c>
      <c r="K109" s="6" t="s">
        <v>20</v>
      </c>
      <c r="L109" s="6" t="s">
        <v>23</v>
      </c>
      <c r="M109" s="6"/>
    </row>
    <row r="110" spans="1:13" ht="15" thickBot="1">
      <c r="A110" s="33"/>
      <c r="B110" s="5" t="s">
        <v>153</v>
      </c>
      <c r="C110" s="5" t="s">
        <v>35</v>
      </c>
      <c r="D110" s="6" t="s">
        <v>168</v>
      </c>
      <c r="E110" s="6">
        <v>10000</v>
      </c>
      <c r="F110" s="6">
        <v>10000</v>
      </c>
      <c r="G110" s="6"/>
      <c r="H110" s="6"/>
      <c r="I110" s="8">
        <f t="shared" si="12"/>
        <v>0</v>
      </c>
      <c r="J110" s="6" t="s">
        <v>45</v>
      </c>
      <c r="K110" s="6" t="s">
        <v>154</v>
      </c>
      <c r="L110" s="6" t="s">
        <v>26</v>
      </c>
      <c r="M110" s="6"/>
    </row>
    <row r="111" spans="1:13" ht="15" thickBot="1">
      <c r="A111" s="33"/>
      <c r="B111" s="31" t="s">
        <v>186</v>
      </c>
      <c r="C111" s="32"/>
      <c r="D111" s="12"/>
      <c r="E111" s="12"/>
      <c r="F111" s="12"/>
      <c r="G111" s="12"/>
      <c r="H111" s="12"/>
      <c r="I111" s="15">
        <f>AVERAGE(I99,I100,I101,I102,I103,I104,I105,I106,I107,I108,I109,I110)</f>
        <v>2.0833333333333335</v>
      </c>
      <c r="J111" s="12"/>
      <c r="K111" s="12"/>
      <c r="L111" s="12"/>
      <c r="M111" s="14"/>
    </row>
    <row r="112" spans="1:13" ht="15" thickBot="1">
      <c r="A112" s="33"/>
      <c r="B112" s="28" t="s">
        <v>122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30"/>
    </row>
    <row r="113" spans="1:13" ht="15" thickBot="1">
      <c r="A113" s="33"/>
      <c r="B113" s="5" t="s">
        <v>123</v>
      </c>
      <c r="C113" s="5"/>
      <c r="D113" s="6" t="s">
        <v>168</v>
      </c>
      <c r="E113" s="6">
        <v>100</v>
      </c>
      <c r="F113" s="6">
        <v>100</v>
      </c>
      <c r="G113" s="6"/>
      <c r="H113" s="6"/>
      <c r="I113" s="8">
        <f>((E113-F113)/E113)*100</f>
        <v>0</v>
      </c>
      <c r="J113" s="6" t="s">
        <v>45</v>
      </c>
      <c r="K113" s="6" t="s">
        <v>154</v>
      </c>
      <c r="L113" s="6" t="s">
        <v>184</v>
      </c>
      <c r="M113" s="6"/>
    </row>
    <row r="114" spans="1:13" ht="15" thickBot="1">
      <c r="A114" s="33"/>
      <c r="B114" s="5" t="s">
        <v>155</v>
      </c>
      <c r="C114" s="5" t="s">
        <v>103</v>
      </c>
      <c r="D114" s="6" t="s">
        <v>168</v>
      </c>
      <c r="E114" s="6">
        <v>200</v>
      </c>
      <c r="F114" s="6">
        <v>200</v>
      </c>
      <c r="G114" s="6"/>
      <c r="H114" s="6"/>
      <c r="I114" s="8">
        <f t="shared" ref="I114:I121" si="13">((E114-F114)/E114)*100</f>
        <v>0</v>
      </c>
      <c r="J114" s="6" t="s">
        <v>45</v>
      </c>
      <c r="K114" s="6" t="s">
        <v>154</v>
      </c>
      <c r="L114" s="6" t="s">
        <v>26</v>
      </c>
      <c r="M114" s="6"/>
    </row>
    <row r="115" spans="1:13" ht="15" thickBot="1">
      <c r="A115" s="33"/>
      <c r="B115" s="5" t="s">
        <v>156</v>
      </c>
      <c r="C115" s="5" t="s">
        <v>69</v>
      </c>
      <c r="D115" s="6" t="s">
        <v>168</v>
      </c>
      <c r="E115" s="6">
        <v>750</v>
      </c>
      <c r="F115" s="6">
        <v>700</v>
      </c>
      <c r="G115" s="6"/>
      <c r="H115" s="6"/>
      <c r="I115" s="8">
        <f t="shared" si="13"/>
        <v>6.666666666666667</v>
      </c>
      <c r="J115" s="6" t="s">
        <v>45</v>
      </c>
      <c r="K115" s="6" t="s">
        <v>154</v>
      </c>
      <c r="L115" s="6" t="s">
        <v>26</v>
      </c>
      <c r="M115" s="6" t="s">
        <v>172</v>
      </c>
    </row>
    <row r="116" spans="1:13" ht="15" thickBot="1">
      <c r="A116" s="33"/>
      <c r="B116" s="5" t="s">
        <v>63</v>
      </c>
      <c r="C116" s="5" t="s">
        <v>103</v>
      </c>
      <c r="D116" s="6" t="s">
        <v>168</v>
      </c>
      <c r="E116" s="6">
        <v>750</v>
      </c>
      <c r="F116" s="6">
        <v>700</v>
      </c>
      <c r="G116" s="6"/>
      <c r="H116" s="6"/>
      <c r="I116" s="8">
        <f t="shared" si="13"/>
        <v>6.666666666666667</v>
      </c>
      <c r="J116" s="6" t="s">
        <v>45</v>
      </c>
      <c r="K116" s="6" t="s">
        <v>154</v>
      </c>
      <c r="L116" s="6" t="s">
        <v>26</v>
      </c>
      <c r="M116" s="6" t="s">
        <v>172</v>
      </c>
    </row>
    <row r="117" spans="1:13" ht="15" thickBot="1">
      <c r="A117" s="33"/>
      <c r="B117" s="5" t="s">
        <v>157</v>
      </c>
      <c r="C117" s="5" t="s">
        <v>57</v>
      </c>
      <c r="D117" s="6" t="s">
        <v>168</v>
      </c>
      <c r="E117" s="6">
        <v>600</v>
      </c>
      <c r="F117" s="6">
        <v>600</v>
      </c>
      <c r="G117" s="6"/>
      <c r="H117" s="6"/>
      <c r="I117" s="8">
        <f t="shared" si="13"/>
        <v>0</v>
      </c>
      <c r="J117" s="6" t="s">
        <v>45</v>
      </c>
      <c r="K117" s="6" t="s">
        <v>154</v>
      </c>
      <c r="L117" s="6" t="s">
        <v>23</v>
      </c>
      <c r="M117" s="6"/>
    </row>
    <row r="118" spans="1:13" ht="15" thickBot="1">
      <c r="A118" s="33"/>
      <c r="B118" s="5" t="s">
        <v>158</v>
      </c>
      <c r="C118" s="5" t="s">
        <v>57</v>
      </c>
      <c r="D118" s="6" t="s">
        <v>168</v>
      </c>
      <c r="E118" s="6">
        <v>600</v>
      </c>
      <c r="F118" s="6">
        <v>600</v>
      </c>
      <c r="G118" s="6"/>
      <c r="H118" s="6"/>
      <c r="I118" s="8">
        <f t="shared" si="13"/>
        <v>0</v>
      </c>
      <c r="J118" s="6" t="s">
        <v>45</v>
      </c>
      <c r="K118" s="6" t="s">
        <v>154</v>
      </c>
      <c r="L118" s="6" t="s">
        <v>23</v>
      </c>
      <c r="M118" s="6"/>
    </row>
    <row r="119" spans="1:13" ht="15" thickBot="1">
      <c r="A119" s="33"/>
      <c r="B119" s="5" t="s">
        <v>104</v>
      </c>
      <c r="C119" s="5" t="s">
        <v>159</v>
      </c>
      <c r="D119" s="6" t="s">
        <v>168</v>
      </c>
      <c r="E119" s="6">
        <v>300</v>
      </c>
      <c r="F119" s="6">
        <v>300</v>
      </c>
      <c r="G119" s="6"/>
      <c r="H119" s="6"/>
      <c r="I119" s="8">
        <f t="shared" si="13"/>
        <v>0</v>
      </c>
      <c r="J119" s="6" t="s">
        <v>45</v>
      </c>
      <c r="K119" s="6" t="s">
        <v>154</v>
      </c>
      <c r="L119" s="6" t="s">
        <v>23</v>
      </c>
      <c r="M119" s="6"/>
    </row>
    <row r="120" spans="1:13" ht="15" thickBot="1">
      <c r="A120" s="33"/>
      <c r="B120" s="5" t="s">
        <v>160</v>
      </c>
      <c r="C120" s="5" t="s">
        <v>92</v>
      </c>
      <c r="D120" s="6" t="s">
        <v>168</v>
      </c>
      <c r="E120" s="6">
        <v>350</v>
      </c>
      <c r="F120" s="6">
        <v>350</v>
      </c>
      <c r="G120" s="6"/>
      <c r="H120" s="6"/>
      <c r="I120" s="8">
        <f t="shared" si="13"/>
        <v>0</v>
      </c>
      <c r="J120" s="6" t="s">
        <v>45</v>
      </c>
      <c r="K120" s="6" t="s">
        <v>154</v>
      </c>
      <c r="L120" s="6" t="s">
        <v>23</v>
      </c>
      <c r="M120" s="6"/>
    </row>
    <row r="121" spans="1:13" ht="15" thickBot="1">
      <c r="A121" s="33"/>
      <c r="B121" s="5" t="s">
        <v>89</v>
      </c>
      <c r="C121" s="5" t="s">
        <v>101</v>
      </c>
      <c r="D121" s="6" t="s">
        <v>168</v>
      </c>
      <c r="E121" s="6">
        <v>750</v>
      </c>
      <c r="F121" s="6">
        <v>750</v>
      </c>
      <c r="G121" s="6"/>
      <c r="H121" s="6"/>
      <c r="I121" s="8">
        <f t="shared" si="13"/>
        <v>0</v>
      </c>
      <c r="J121" s="6" t="s">
        <v>45</v>
      </c>
      <c r="K121" s="6" t="s">
        <v>154</v>
      </c>
      <c r="L121" s="6" t="s">
        <v>26</v>
      </c>
      <c r="M121" s="6"/>
    </row>
    <row r="122" spans="1:13" ht="15" thickBot="1">
      <c r="A122" s="33"/>
      <c r="B122" s="31" t="s">
        <v>186</v>
      </c>
      <c r="C122" s="32"/>
      <c r="D122" s="12"/>
      <c r="E122" s="12"/>
      <c r="F122" s="12"/>
      <c r="G122" s="12"/>
      <c r="H122" s="12"/>
      <c r="I122" s="15">
        <f>AVERAGE(I113,I114,I115,I116,I117,I118,I119,I120,I121)</f>
        <v>1.4814814814814816</v>
      </c>
      <c r="J122" s="12"/>
      <c r="K122" s="12"/>
      <c r="L122" s="12"/>
      <c r="M122" s="14"/>
    </row>
    <row r="123" spans="1:13" ht="15" thickBot="1">
      <c r="A123" s="33"/>
      <c r="B123" s="28" t="s">
        <v>124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30"/>
    </row>
    <row r="124" spans="1:13" ht="15" thickBot="1">
      <c r="A124" s="33"/>
      <c r="B124" s="5" t="s">
        <v>87</v>
      </c>
      <c r="C124" s="5" t="s">
        <v>58</v>
      </c>
      <c r="D124" s="6" t="s">
        <v>168</v>
      </c>
      <c r="E124" s="6">
        <v>200</v>
      </c>
      <c r="F124" s="6">
        <v>200</v>
      </c>
      <c r="G124" s="6"/>
      <c r="H124" s="6"/>
      <c r="I124" s="8">
        <f>((E124-F124)/E124)*100</f>
        <v>0</v>
      </c>
      <c r="J124" s="6" t="s">
        <v>45</v>
      </c>
      <c r="K124" s="6" t="s">
        <v>20</v>
      </c>
      <c r="L124" s="6" t="s">
        <v>59</v>
      </c>
      <c r="M124" s="6"/>
    </row>
    <row r="125" spans="1:13" ht="15" thickBot="1">
      <c r="A125" s="33"/>
      <c r="B125" s="5" t="s">
        <v>125</v>
      </c>
      <c r="C125" s="5" t="s">
        <v>126</v>
      </c>
      <c r="D125" s="6" t="s">
        <v>168</v>
      </c>
      <c r="E125" s="6">
        <v>500</v>
      </c>
      <c r="F125" s="6">
        <v>500</v>
      </c>
      <c r="G125" s="6"/>
      <c r="H125" s="6"/>
      <c r="I125" s="8">
        <f t="shared" ref="I125:I129" si="14">((E125-F125)/E125)*100</f>
        <v>0</v>
      </c>
      <c r="J125" s="6" t="s">
        <v>45</v>
      </c>
      <c r="K125" s="6" t="s">
        <v>20</v>
      </c>
      <c r="L125" s="6" t="s">
        <v>75</v>
      </c>
      <c r="M125" s="6"/>
    </row>
    <row r="126" spans="1:13" ht="15" thickBot="1">
      <c r="A126" s="33"/>
      <c r="B126" s="5" t="s">
        <v>127</v>
      </c>
      <c r="C126" s="5" t="s">
        <v>128</v>
      </c>
      <c r="D126" s="6" t="s">
        <v>168</v>
      </c>
      <c r="E126" s="6">
        <v>1200</v>
      </c>
      <c r="F126" s="6">
        <v>1200</v>
      </c>
      <c r="G126" s="6"/>
      <c r="H126" s="6"/>
      <c r="I126" s="8">
        <f t="shared" si="14"/>
        <v>0</v>
      </c>
      <c r="J126" s="6" t="s">
        <v>45</v>
      </c>
      <c r="K126" s="6" t="s">
        <v>20</v>
      </c>
      <c r="L126" s="6" t="s">
        <v>23</v>
      </c>
      <c r="M126" s="6"/>
    </row>
    <row r="127" spans="1:13" ht="15" thickBot="1">
      <c r="A127" s="33"/>
      <c r="B127" s="5" t="s">
        <v>102</v>
      </c>
      <c r="C127" s="5" t="s">
        <v>95</v>
      </c>
      <c r="D127" s="6" t="s">
        <v>168</v>
      </c>
      <c r="E127" s="6">
        <v>500</v>
      </c>
      <c r="F127" s="6">
        <v>450</v>
      </c>
      <c r="G127" s="6"/>
      <c r="H127" s="6"/>
      <c r="I127" s="8">
        <f t="shared" si="14"/>
        <v>10</v>
      </c>
      <c r="J127" s="6" t="s">
        <v>45</v>
      </c>
      <c r="K127" s="6" t="s">
        <v>20</v>
      </c>
      <c r="L127" s="6" t="s">
        <v>26</v>
      </c>
      <c r="M127" s="6" t="s">
        <v>54</v>
      </c>
    </row>
    <row r="128" spans="1:13" ht="15" thickBot="1">
      <c r="A128" s="33"/>
      <c r="B128" s="5" t="s">
        <v>104</v>
      </c>
      <c r="C128" s="5" t="s">
        <v>126</v>
      </c>
      <c r="D128" s="6" t="s">
        <v>168</v>
      </c>
      <c r="E128" s="6">
        <v>300</v>
      </c>
      <c r="F128" s="6">
        <v>250</v>
      </c>
      <c r="G128" s="6"/>
      <c r="H128" s="6"/>
      <c r="I128" s="8">
        <f t="shared" si="14"/>
        <v>16.666666666666664</v>
      </c>
      <c r="J128" s="6" t="s">
        <v>45</v>
      </c>
      <c r="K128" s="6" t="s">
        <v>20</v>
      </c>
      <c r="L128" s="6" t="s">
        <v>55</v>
      </c>
      <c r="M128" s="6" t="s">
        <v>54</v>
      </c>
    </row>
    <row r="129" spans="1:13" ht="15" thickBot="1">
      <c r="A129" s="33"/>
      <c r="B129" s="5" t="s">
        <v>163</v>
      </c>
      <c r="C129" s="5" t="s">
        <v>128</v>
      </c>
      <c r="D129" s="6" t="s">
        <v>168</v>
      </c>
      <c r="E129" s="6">
        <v>400</v>
      </c>
      <c r="F129" s="6">
        <v>400</v>
      </c>
      <c r="G129" s="6"/>
      <c r="H129" s="6"/>
      <c r="I129" s="8">
        <f t="shared" si="14"/>
        <v>0</v>
      </c>
      <c r="J129" s="6" t="s">
        <v>45</v>
      </c>
      <c r="K129" s="6" t="s">
        <v>154</v>
      </c>
      <c r="L129" s="6" t="s">
        <v>23</v>
      </c>
      <c r="M129" s="6"/>
    </row>
    <row r="130" spans="1:13" ht="15" thickBot="1">
      <c r="A130" s="33"/>
      <c r="B130" s="31" t="s">
        <v>186</v>
      </c>
      <c r="C130" s="32"/>
      <c r="D130" s="12"/>
      <c r="E130" s="12"/>
      <c r="F130" s="12"/>
      <c r="G130" s="12"/>
      <c r="H130" s="12"/>
      <c r="I130" s="15">
        <f>AVERAGE(I124,I125,I126,I127,I128,I129)</f>
        <v>4.4444444444444438</v>
      </c>
      <c r="J130" s="12"/>
      <c r="K130" s="12"/>
      <c r="L130" s="12"/>
      <c r="M130" s="14"/>
    </row>
    <row r="131" spans="1:13" ht="15" thickBot="1">
      <c r="A131" s="18"/>
      <c r="B131" s="19" t="s">
        <v>203</v>
      </c>
      <c r="C131" s="20"/>
      <c r="D131" s="21"/>
      <c r="E131" s="21"/>
      <c r="F131" s="21"/>
      <c r="G131" s="21"/>
      <c r="H131" s="21"/>
      <c r="I131" s="22">
        <f>AVERAGE(I130,I122,I111,I97,I89)</f>
        <v>4.5185185185185182</v>
      </c>
      <c r="J131" s="21"/>
      <c r="K131" s="21"/>
      <c r="L131" s="21"/>
      <c r="M131" s="23"/>
    </row>
  </sheetData>
  <mergeCells count="35">
    <mergeCell ref="B89:C89"/>
    <mergeCell ref="B81:C81"/>
    <mergeCell ref="B75:C75"/>
    <mergeCell ref="B60:C60"/>
    <mergeCell ref="B54:C54"/>
    <mergeCell ref="B61:M61"/>
    <mergeCell ref="B76:M76"/>
    <mergeCell ref="B40:C40"/>
    <mergeCell ref="A83:A130"/>
    <mergeCell ref="B83:M83"/>
    <mergeCell ref="B90:M90"/>
    <mergeCell ref="B98:M98"/>
    <mergeCell ref="B112:M112"/>
    <mergeCell ref="B123:M123"/>
    <mergeCell ref="B130:C130"/>
    <mergeCell ref="B122:C122"/>
    <mergeCell ref="B111:C111"/>
    <mergeCell ref="B97:C97"/>
    <mergeCell ref="A29:A81"/>
    <mergeCell ref="B29:M29"/>
    <mergeCell ref="B34:M34"/>
    <mergeCell ref="B41:M41"/>
    <mergeCell ref="B55:M55"/>
    <mergeCell ref="B16:M16"/>
    <mergeCell ref="B21:C21"/>
    <mergeCell ref="B22:M22"/>
    <mergeCell ref="B27:C27"/>
    <mergeCell ref="A1:A3"/>
    <mergeCell ref="B1:C2"/>
    <mergeCell ref="E1:M1"/>
    <mergeCell ref="B3:M3"/>
    <mergeCell ref="A4:A27"/>
    <mergeCell ref="B8:C8"/>
    <mergeCell ref="B9:M9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Decortiqué</vt:lpstr>
      <vt:lpstr>Gousses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2015-06-05T18:19:34Z</dcterms:created>
  <dcterms:modified xsi:type="dcterms:W3CDTF">2026-08-22T11:52:55Z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F1025CDB250C864B1F00146A5A7CE2C7_33</vt:lpwstr>
  </property>
  <property fmtid="{D5CDD505-2E9C-101B-9397-08002B2CF9AE}" pid="3" name="KSOProductBuildVer">
    <vt:lpwstr>3081-11.34.12</vt:lpwstr>
  </property>
</Properties>
</file>